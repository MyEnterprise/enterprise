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ebraepr-my.sharepoint.com/personal/viviane_brasil_sebraepr_onmicrosoft_com/Documents/Cópia OneDrive 10 07/OneDrive/Planilhas/PLANILHA 2021/32 - PESSOAS - FOLHA DE PAGAMENTO/"/>
    </mc:Choice>
  </mc:AlternateContent>
  <xr:revisionPtr revIDLastSave="0" documentId="13_ncr:1_{8FE33889-2DBF-4F5C-995B-41BF5859CC04}" xr6:coauthVersionLast="46" xr6:coauthVersionMax="47" xr10:uidLastSave="{00000000-0000-0000-0000-000000000000}"/>
  <bookViews>
    <workbookView xWindow="-110" yWindow="-110" windowWidth="19420" windowHeight="10420" tabRatio="0" firstSheet="3" activeTab="3" xr2:uid="{B3B1BE14-F09C-407A-9692-42B8B0CC6224}"/>
  </bookViews>
  <sheets>
    <sheet name="Menu" sheetId="11" r:id="rId1"/>
    <sheet name="Colab - Previsto" sheetId="22" r:id="rId2"/>
    <sheet name="Colab - Realizado" sheetId="25" r:id="rId3"/>
    <sheet name="Previsto Realizado" sheetId="24" r:id="rId4"/>
    <sheet name="CG" sheetId="13" r:id="rId5"/>
    <sheet name="Holerite" sheetId="23" r:id="rId6"/>
    <sheet name="Dash" sheetId="21" r:id="rId7"/>
    <sheet name="Instruções" sheetId="20" r:id="rId8"/>
    <sheet name="Lista" sheetId="26" r:id="rId9"/>
  </sheets>
  <externalReferences>
    <externalReference r:id="rId10"/>
    <externalReference r:id="rId11"/>
  </externalReferences>
  <definedNames>
    <definedName name="anos">Lista!$C$1:$C$10</definedName>
    <definedName name="_xlnm.Print_Area" localSheetId="4">CG!$B$10:$F$35</definedName>
    <definedName name="_xlnm.Print_Area" localSheetId="1">'Colab - Previsto'!$C$10:$F$33</definedName>
    <definedName name="_xlnm.Print_Area" localSheetId="2">'Colab - Realizado'!$C$10:$F$33</definedName>
    <definedName name="_xlnm.Print_Area" localSheetId="6">Dash!$A$1:$V$33</definedName>
    <definedName name="_xlnm.Print_Area" localSheetId="5">Holerite!$B$2:$R$80</definedName>
    <definedName name="colab" localSheetId="2">'Colab - Realizado'!$C$14:$C$63</definedName>
    <definedName name="colab">'Colab - Previsto'!$C$14:$C$63</definedName>
    <definedName name="escolaridade">[1]Calc!#REF!</definedName>
    <definedName name="matricula" localSheetId="2">'Colab - Realizado'!$B$14:$B$63</definedName>
    <definedName name="matricula">'Colab - Previsto'!$B$14:$B$63</definedName>
    <definedName name="Matriculas">[2]Configuração!$D$2:$D$143</definedName>
    <definedName name="meses">Lista!$A$1:$A$12</definedName>
    <definedName name="produtos" localSheetId="1">#REF!</definedName>
    <definedName name="produtos" localSheetId="2">#REF!</definedName>
    <definedName name="produtos">#REF!</definedName>
    <definedName name="_xlnm.Print_Titles" localSheetId="4">CG!$10:$10</definedName>
    <definedName name="_xlnm.Print_Titles" localSheetId="1">'Colab - Previsto'!$10:$10</definedName>
    <definedName name="_xlnm.Print_Titles" localSheetId="2">'Colab - Realizado'!$10:$10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6" i="23" l="1"/>
  <c r="H46" i="23"/>
  <c r="A8" i="23"/>
  <c r="K14" i="23" s="1"/>
  <c r="X15" i="25"/>
  <c r="X16" i="25"/>
  <c r="X17" i="25"/>
  <c r="X18" i="25"/>
  <c r="X19" i="25"/>
  <c r="X20" i="25"/>
  <c r="X21" i="25"/>
  <c r="X22" i="25"/>
  <c r="X23" i="25"/>
  <c r="X24" i="25"/>
  <c r="X25" i="25"/>
  <c r="X26" i="25"/>
  <c r="X27" i="25"/>
  <c r="X28" i="25"/>
  <c r="X29" i="25"/>
  <c r="X30" i="25"/>
  <c r="X31" i="25"/>
  <c r="X32" i="25"/>
  <c r="X33" i="25"/>
  <c r="X34" i="25"/>
  <c r="X35" i="25"/>
  <c r="X36" i="25"/>
  <c r="X37" i="25"/>
  <c r="X38" i="25"/>
  <c r="X39" i="25"/>
  <c r="X40" i="25"/>
  <c r="X41" i="25"/>
  <c r="X42" i="25"/>
  <c r="X43" i="25"/>
  <c r="X44" i="25"/>
  <c r="X45" i="25"/>
  <c r="X46" i="25"/>
  <c r="X47" i="25"/>
  <c r="X48" i="25"/>
  <c r="X49" i="25"/>
  <c r="X50" i="25"/>
  <c r="X51" i="25"/>
  <c r="X52" i="25"/>
  <c r="X53" i="25"/>
  <c r="X54" i="25"/>
  <c r="X55" i="25"/>
  <c r="X56" i="25"/>
  <c r="X57" i="25"/>
  <c r="X58" i="25"/>
  <c r="X59" i="25"/>
  <c r="X60" i="25"/>
  <c r="X61" i="25"/>
  <c r="X62" i="25"/>
  <c r="X63" i="25"/>
  <c r="L14" i="24"/>
  <c r="M14" i="24"/>
  <c r="N14" i="24"/>
  <c r="D13" i="24"/>
  <c r="E13" i="24"/>
  <c r="J13" i="24"/>
  <c r="K13" i="24"/>
  <c r="L13" i="24"/>
  <c r="M13" i="24"/>
  <c r="N13" i="24"/>
  <c r="C13" i="24"/>
  <c r="G8" i="23"/>
  <c r="D8" i="23"/>
  <c r="X14" i="25"/>
  <c r="O63" i="25"/>
  <c r="M63" i="25"/>
  <c r="K63" i="25"/>
  <c r="P63" i="25" s="1"/>
  <c r="O62" i="25"/>
  <c r="M62" i="25"/>
  <c r="K62" i="25"/>
  <c r="O61" i="25"/>
  <c r="M61" i="25"/>
  <c r="K61" i="25"/>
  <c r="O60" i="25"/>
  <c r="M60" i="25"/>
  <c r="K60" i="25"/>
  <c r="O59" i="25"/>
  <c r="M59" i="25"/>
  <c r="K59" i="25"/>
  <c r="P59" i="25" s="1"/>
  <c r="O58" i="25"/>
  <c r="M58" i="25"/>
  <c r="K58" i="25"/>
  <c r="O57" i="25"/>
  <c r="M57" i="25"/>
  <c r="K57" i="25"/>
  <c r="O56" i="25"/>
  <c r="M56" i="25"/>
  <c r="K56" i="25"/>
  <c r="O55" i="25"/>
  <c r="M55" i="25"/>
  <c r="K55" i="25"/>
  <c r="O54" i="25"/>
  <c r="M54" i="25"/>
  <c r="K54" i="25"/>
  <c r="O53" i="25"/>
  <c r="M53" i="25"/>
  <c r="K53" i="25"/>
  <c r="O52" i="25"/>
  <c r="M52" i="25"/>
  <c r="K52" i="25"/>
  <c r="P52" i="25" s="1"/>
  <c r="O51" i="25"/>
  <c r="M51" i="25"/>
  <c r="K51" i="25"/>
  <c r="P51" i="25" s="1"/>
  <c r="O50" i="25"/>
  <c r="M50" i="25"/>
  <c r="K50" i="25"/>
  <c r="O49" i="25"/>
  <c r="M49" i="25"/>
  <c r="K49" i="25"/>
  <c r="O48" i="25"/>
  <c r="M48" i="25"/>
  <c r="K48" i="25"/>
  <c r="O47" i="25"/>
  <c r="M47" i="25"/>
  <c r="K47" i="25"/>
  <c r="P47" i="25" s="1"/>
  <c r="O46" i="25"/>
  <c r="M46" i="25"/>
  <c r="K46" i="25"/>
  <c r="O45" i="25"/>
  <c r="M45" i="25"/>
  <c r="K45" i="25"/>
  <c r="O44" i="25"/>
  <c r="M44" i="25"/>
  <c r="K44" i="25"/>
  <c r="O43" i="25"/>
  <c r="M43" i="25"/>
  <c r="K43" i="25"/>
  <c r="O42" i="25"/>
  <c r="M42" i="25"/>
  <c r="K42" i="25"/>
  <c r="O41" i="25"/>
  <c r="M41" i="25"/>
  <c r="K41" i="25"/>
  <c r="O40" i="25"/>
  <c r="M40" i="25"/>
  <c r="K40" i="25"/>
  <c r="O39" i="25"/>
  <c r="M39" i="25"/>
  <c r="K39" i="25"/>
  <c r="O38" i="25"/>
  <c r="M38" i="25"/>
  <c r="K38" i="25"/>
  <c r="O37" i="25"/>
  <c r="M37" i="25"/>
  <c r="K37" i="25"/>
  <c r="O36" i="25"/>
  <c r="M36" i="25"/>
  <c r="K36" i="25"/>
  <c r="O35" i="25"/>
  <c r="M35" i="25"/>
  <c r="P35" i="25" s="1"/>
  <c r="K35" i="25"/>
  <c r="O34" i="25"/>
  <c r="M34" i="25"/>
  <c r="K34" i="25"/>
  <c r="O33" i="25"/>
  <c r="M33" i="25"/>
  <c r="K33" i="25"/>
  <c r="O32" i="25"/>
  <c r="M32" i="25"/>
  <c r="K32" i="25"/>
  <c r="O31" i="25"/>
  <c r="M31" i="25"/>
  <c r="K31" i="25"/>
  <c r="O30" i="25"/>
  <c r="M30" i="25"/>
  <c r="K30" i="25"/>
  <c r="O29" i="25"/>
  <c r="M29" i="25"/>
  <c r="K29" i="25"/>
  <c r="O28" i="25"/>
  <c r="M28" i="25"/>
  <c r="K28" i="25"/>
  <c r="O27" i="25"/>
  <c r="M27" i="25"/>
  <c r="P27" i="25" s="1"/>
  <c r="K27" i="25"/>
  <c r="O26" i="25"/>
  <c r="M26" i="25"/>
  <c r="K26" i="25"/>
  <c r="O25" i="25"/>
  <c r="M25" i="25"/>
  <c r="K25" i="25"/>
  <c r="O24" i="25"/>
  <c r="M24" i="25"/>
  <c r="K24" i="25"/>
  <c r="O23" i="25"/>
  <c r="M23" i="25"/>
  <c r="K23" i="25"/>
  <c r="O22" i="25"/>
  <c r="M22" i="25"/>
  <c r="K22" i="25"/>
  <c r="O21" i="25"/>
  <c r="M21" i="25"/>
  <c r="K21" i="25"/>
  <c r="O20" i="25"/>
  <c r="M20" i="25"/>
  <c r="K20" i="25"/>
  <c r="O19" i="25"/>
  <c r="M19" i="25"/>
  <c r="K19" i="25"/>
  <c r="O18" i="25"/>
  <c r="M18" i="25"/>
  <c r="K18" i="25"/>
  <c r="O17" i="25"/>
  <c r="M17" i="25"/>
  <c r="K17" i="25"/>
  <c r="O16" i="25"/>
  <c r="M16" i="25"/>
  <c r="K16" i="25"/>
  <c r="P16" i="25" s="1"/>
  <c r="O15" i="25"/>
  <c r="M15" i="25"/>
  <c r="K15" i="25"/>
  <c r="O14" i="25"/>
  <c r="M14" i="25"/>
  <c r="K14" i="25"/>
  <c r="H12" i="23" l="1"/>
  <c r="K13" i="23"/>
  <c r="C20" i="21"/>
  <c r="P19" i="25"/>
  <c r="P17" i="25"/>
  <c r="Q17" i="25" s="1"/>
  <c r="P43" i="25"/>
  <c r="P15" i="25"/>
  <c r="Q15" i="25" s="1"/>
  <c r="P20" i="25"/>
  <c r="P32" i="25"/>
  <c r="P33" i="25"/>
  <c r="P34" i="25"/>
  <c r="P39" i="25"/>
  <c r="P18" i="25"/>
  <c r="P23" i="25"/>
  <c r="P31" i="25"/>
  <c r="P36" i="25"/>
  <c r="P48" i="25"/>
  <c r="P49" i="25"/>
  <c r="P50" i="25"/>
  <c r="P55" i="25"/>
  <c r="P21" i="25"/>
  <c r="P38" i="25"/>
  <c r="P53" i="25"/>
  <c r="P54" i="25"/>
  <c r="P56" i="25"/>
  <c r="P57" i="25"/>
  <c r="P58" i="25"/>
  <c r="P22" i="25"/>
  <c r="P37" i="25"/>
  <c r="P24" i="25"/>
  <c r="P25" i="25"/>
  <c r="P26" i="25"/>
  <c r="Q26" i="25" s="1"/>
  <c r="R26" i="25" s="1"/>
  <c r="U26" i="25" s="1"/>
  <c r="P40" i="25"/>
  <c r="P41" i="25"/>
  <c r="P42" i="25"/>
  <c r="P14" i="25"/>
  <c r="Q14" i="25" s="1"/>
  <c r="P28" i="25"/>
  <c r="P29" i="25"/>
  <c r="P30" i="25"/>
  <c r="P44" i="25"/>
  <c r="Q44" i="25" s="1"/>
  <c r="P45" i="25"/>
  <c r="P46" i="25"/>
  <c r="P60" i="25"/>
  <c r="P61" i="25"/>
  <c r="P62" i="25"/>
  <c r="G16" i="23"/>
  <c r="C38" i="23"/>
  <c r="G15" i="23"/>
  <c r="Q16" i="25"/>
  <c r="R16" i="25" s="1"/>
  <c r="U16" i="25" s="1"/>
  <c r="E14" i="24" s="1"/>
  <c r="Q21" i="25"/>
  <c r="Q25" i="25"/>
  <c r="Q29" i="25"/>
  <c r="Q33" i="25"/>
  <c r="Q37" i="25"/>
  <c r="Q41" i="25"/>
  <c r="Q45" i="25"/>
  <c r="Q49" i="25"/>
  <c r="R49" i="25" s="1"/>
  <c r="Q53" i="25"/>
  <c r="Q57" i="25"/>
  <c r="Q18" i="25"/>
  <c r="R18" i="25" s="1"/>
  <c r="U18" i="25" s="1"/>
  <c r="G14" i="24" s="1"/>
  <c r="Q30" i="25"/>
  <c r="R30" i="25" s="1"/>
  <c r="U30" i="25" s="1"/>
  <c r="Q34" i="25"/>
  <c r="R34" i="25" s="1"/>
  <c r="U34" i="25" s="1"/>
  <c r="Q38" i="25"/>
  <c r="R38" i="25" s="1"/>
  <c r="U38" i="25" s="1"/>
  <c r="R42" i="25"/>
  <c r="U42" i="25" s="1"/>
  <c r="Q42" i="25"/>
  <c r="Q46" i="25"/>
  <c r="R46" i="25" s="1"/>
  <c r="U46" i="25" s="1"/>
  <c r="R50" i="25"/>
  <c r="U50" i="25" s="1"/>
  <c r="Q50" i="25"/>
  <c r="Q58" i="25"/>
  <c r="R58" i="25" s="1"/>
  <c r="U58" i="25" s="1"/>
  <c r="Q62" i="25"/>
  <c r="R62" i="25" s="1"/>
  <c r="U62" i="25" s="1"/>
  <c r="R17" i="25"/>
  <c r="U17" i="25" s="1"/>
  <c r="F14" i="24" s="1"/>
  <c r="Q19" i="25"/>
  <c r="R19" i="25" s="1"/>
  <c r="U19" i="25" s="1"/>
  <c r="H14" i="24" s="1"/>
  <c r="Q20" i="25"/>
  <c r="R21" i="25"/>
  <c r="U21" i="25" s="1"/>
  <c r="J14" i="24" s="1"/>
  <c r="Q23" i="25"/>
  <c r="Q24" i="25"/>
  <c r="R24" i="25" s="1"/>
  <c r="U24" i="25" s="1"/>
  <c r="R25" i="25"/>
  <c r="Q27" i="25"/>
  <c r="R27" i="25" s="1"/>
  <c r="U27" i="25" s="1"/>
  <c r="Q28" i="25"/>
  <c r="R28" i="25" s="1"/>
  <c r="U28" i="25" s="1"/>
  <c r="R29" i="25"/>
  <c r="U29" i="25" s="1"/>
  <c r="Q31" i="25"/>
  <c r="Q32" i="25"/>
  <c r="R32" i="25" s="1"/>
  <c r="Q35" i="25"/>
  <c r="R35" i="25" s="1"/>
  <c r="U35" i="25" s="1"/>
  <c r="Q36" i="25"/>
  <c r="R37" i="25"/>
  <c r="Q39" i="25"/>
  <c r="Q40" i="25"/>
  <c r="R40" i="25" s="1"/>
  <c r="U40" i="25" s="1"/>
  <c r="R41" i="25"/>
  <c r="Q43" i="25"/>
  <c r="R43" i="25" s="1"/>
  <c r="U43" i="25" s="1"/>
  <c r="R45" i="25"/>
  <c r="Q47" i="25"/>
  <c r="Q48" i="25"/>
  <c r="R48" i="25" s="1"/>
  <c r="U48" i="25" s="1"/>
  <c r="Q51" i="25"/>
  <c r="R51" i="25" s="1"/>
  <c r="U51" i="25" s="1"/>
  <c r="Q52" i="25"/>
  <c r="R52" i="25" s="1"/>
  <c r="U52" i="25" s="1"/>
  <c r="R53" i="25"/>
  <c r="Q55" i="25"/>
  <c r="Q56" i="25"/>
  <c r="R57" i="25"/>
  <c r="Q59" i="25"/>
  <c r="R59" i="25" s="1"/>
  <c r="U59" i="25" s="1"/>
  <c r="Q60" i="25"/>
  <c r="Q63" i="25"/>
  <c r="R14" i="25" l="1"/>
  <c r="C16" i="21"/>
  <c r="R15" i="25"/>
  <c r="U15" i="25" s="1"/>
  <c r="D14" i="24" s="1"/>
  <c r="F38" i="23"/>
  <c r="I38" i="23"/>
  <c r="E38" i="23"/>
  <c r="Q54" i="25"/>
  <c r="R54" i="25" s="1"/>
  <c r="U54" i="25" s="1"/>
  <c r="Q22" i="25"/>
  <c r="Q61" i="25"/>
  <c r="R61" i="25" s="1"/>
  <c r="U45" i="25"/>
  <c r="U32" i="25"/>
  <c r="U57" i="25"/>
  <c r="U41" i="25"/>
  <c r="U25" i="25"/>
  <c r="U49" i="25"/>
  <c r="R33" i="25"/>
  <c r="U33" i="25" s="1"/>
  <c r="U53" i="25"/>
  <c r="U37" i="25"/>
  <c r="R56" i="25"/>
  <c r="U56" i="25" s="1"/>
  <c r="R63" i="25"/>
  <c r="U63" i="25" s="1"/>
  <c r="R55" i="25"/>
  <c r="U55" i="25" s="1"/>
  <c r="R47" i="25"/>
  <c r="U47" i="25" s="1"/>
  <c r="R39" i="25"/>
  <c r="U39" i="25" s="1"/>
  <c r="R31" i="25"/>
  <c r="U31" i="25" s="1"/>
  <c r="R23" i="25"/>
  <c r="U23" i="25" s="1"/>
  <c r="R60" i="25"/>
  <c r="U60" i="25" s="1"/>
  <c r="R36" i="25"/>
  <c r="U36" i="25" s="1"/>
  <c r="R44" i="25"/>
  <c r="U44" i="25" s="1"/>
  <c r="R20" i="25"/>
  <c r="U20" i="25" s="1"/>
  <c r="I14" i="24" s="1"/>
  <c r="C79" i="23"/>
  <c r="H8" i="23"/>
  <c r="H49" i="23" s="1"/>
  <c r="G49" i="23"/>
  <c r="D49" i="23"/>
  <c r="C5" i="23"/>
  <c r="C46" i="23" s="1"/>
  <c r="C3" i="23"/>
  <c r="C44" i="23" s="1"/>
  <c r="K17" i="22"/>
  <c r="M17" i="22"/>
  <c r="O17" i="22"/>
  <c r="K18" i="22"/>
  <c r="M18" i="22"/>
  <c r="O18" i="22"/>
  <c r="K19" i="22"/>
  <c r="M19" i="22"/>
  <c r="O19" i="22"/>
  <c r="K20" i="22"/>
  <c r="M20" i="22"/>
  <c r="O20" i="22"/>
  <c r="K21" i="22"/>
  <c r="M21" i="22"/>
  <c r="O21" i="22"/>
  <c r="K22" i="22"/>
  <c r="M22" i="22"/>
  <c r="O22" i="22"/>
  <c r="K23" i="22"/>
  <c r="M23" i="22"/>
  <c r="O23" i="22"/>
  <c r="K24" i="22"/>
  <c r="M24" i="22"/>
  <c r="O24" i="22"/>
  <c r="K25" i="22"/>
  <c r="M25" i="22"/>
  <c r="O25" i="22"/>
  <c r="K26" i="22"/>
  <c r="M26" i="22"/>
  <c r="O26" i="22"/>
  <c r="K27" i="22"/>
  <c r="M27" i="22"/>
  <c r="O27" i="22"/>
  <c r="K28" i="22"/>
  <c r="M28" i="22"/>
  <c r="O28" i="22"/>
  <c r="K29" i="22"/>
  <c r="M29" i="22"/>
  <c r="O29" i="22"/>
  <c r="K30" i="22"/>
  <c r="M30" i="22"/>
  <c r="O30" i="22"/>
  <c r="K31" i="22"/>
  <c r="M31" i="22"/>
  <c r="O31" i="22"/>
  <c r="K32" i="22"/>
  <c r="M32" i="22"/>
  <c r="O32" i="22"/>
  <c r="K33" i="22"/>
  <c r="M33" i="22"/>
  <c r="O33" i="22"/>
  <c r="K34" i="22"/>
  <c r="M34" i="22"/>
  <c r="O34" i="22"/>
  <c r="K35" i="22"/>
  <c r="M35" i="22"/>
  <c r="O35" i="22"/>
  <c r="K36" i="22"/>
  <c r="M36" i="22"/>
  <c r="O36" i="22"/>
  <c r="K37" i="22"/>
  <c r="M37" i="22"/>
  <c r="O37" i="22"/>
  <c r="K38" i="22"/>
  <c r="M38" i="22"/>
  <c r="O38" i="22"/>
  <c r="K39" i="22"/>
  <c r="M39" i="22"/>
  <c r="O39" i="22"/>
  <c r="K40" i="22"/>
  <c r="M40" i="22"/>
  <c r="O40" i="22"/>
  <c r="K41" i="22"/>
  <c r="M41" i="22"/>
  <c r="O41" i="22"/>
  <c r="K42" i="22"/>
  <c r="M42" i="22"/>
  <c r="O42" i="22"/>
  <c r="K43" i="22"/>
  <c r="M43" i="22"/>
  <c r="O43" i="22"/>
  <c r="K44" i="22"/>
  <c r="M44" i="22"/>
  <c r="O44" i="22"/>
  <c r="K45" i="22"/>
  <c r="M45" i="22"/>
  <c r="O45" i="22"/>
  <c r="K46" i="22"/>
  <c r="M46" i="22"/>
  <c r="O46" i="22"/>
  <c r="K47" i="22"/>
  <c r="M47" i="22"/>
  <c r="O47" i="22"/>
  <c r="K48" i="22"/>
  <c r="M48" i="22"/>
  <c r="O48" i="22"/>
  <c r="K49" i="22"/>
  <c r="M49" i="22"/>
  <c r="O49" i="22"/>
  <c r="K50" i="22"/>
  <c r="M50" i="22"/>
  <c r="O50" i="22"/>
  <c r="K51" i="22"/>
  <c r="M51" i="22"/>
  <c r="O51" i="22"/>
  <c r="K52" i="22"/>
  <c r="M52" i="22"/>
  <c r="O52" i="22"/>
  <c r="K53" i="22"/>
  <c r="M53" i="22"/>
  <c r="O53" i="22"/>
  <c r="K54" i="22"/>
  <c r="M54" i="22"/>
  <c r="O54" i="22"/>
  <c r="K55" i="22"/>
  <c r="M55" i="22"/>
  <c r="O55" i="22"/>
  <c r="K56" i="22"/>
  <c r="M56" i="22"/>
  <c r="O56" i="22"/>
  <c r="K57" i="22"/>
  <c r="M57" i="22"/>
  <c r="O57" i="22"/>
  <c r="K58" i="22"/>
  <c r="M58" i="22"/>
  <c r="O58" i="22"/>
  <c r="K59" i="22"/>
  <c r="M59" i="22"/>
  <c r="O59" i="22"/>
  <c r="K60" i="22"/>
  <c r="M60" i="22"/>
  <c r="O60" i="22"/>
  <c r="K61" i="22"/>
  <c r="M61" i="22"/>
  <c r="O61" i="22"/>
  <c r="K62" i="22"/>
  <c r="M62" i="22"/>
  <c r="O62" i="22"/>
  <c r="K63" i="22"/>
  <c r="M63" i="22"/>
  <c r="O63" i="22"/>
  <c r="K15" i="22"/>
  <c r="M15" i="22"/>
  <c r="O15" i="22"/>
  <c r="K16" i="22"/>
  <c r="M16" i="22"/>
  <c r="O16" i="22"/>
  <c r="O14" i="22"/>
  <c r="M14" i="22"/>
  <c r="K14" i="22"/>
  <c r="C23" i="13"/>
  <c r="C49" i="23"/>
  <c r="K70" i="23"/>
  <c r="H70" i="23"/>
  <c r="G70" i="23"/>
  <c r="D70" i="23"/>
  <c r="K69" i="23"/>
  <c r="H69" i="23"/>
  <c r="G69" i="23"/>
  <c r="D69" i="23"/>
  <c r="K68" i="23"/>
  <c r="H68" i="23"/>
  <c r="G68" i="23"/>
  <c r="D68" i="23"/>
  <c r="K67" i="23"/>
  <c r="H67" i="23"/>
  <c r="G67" i="23"/>
  <c r="C67" i="23"/>
  <c r="K66" i="23"/>
  <c r="H66" i="23"/>
  <c r="G66" i="23"/>
  <c r="D66" i="23"/>
  <c r="C66" i="23"/>
  <c r="K65" i="23"/>
  <c r="H65" i="23"/>
  <c r="G65" i="23"/>
  <c r="D65" i="23"/>
  <c r="K64" i="23"/>
  <c r="H64" i="23"/>
  <c r="G64" i="23"/>
  <c r="D64" i="23"/>
  <c r="K63" i="23"/>
  <c r="H63" i="23"/>
  <c r="G63" i="23"/>
  <c r="C63" i="23"/>
  <c r="K62" i="23"/>
  <c r="H62" i="23"/>
  <c r="G62" i="23"/>
  <c r="D62" i="23"/>
  <c r="C62" i="23"/>
  <c r="K61" i="23"/>
  <c r="H61" i="23"/>
  <c r="G61" i="23"/>
  <c r="D61" i="23"/>
  <c r="K60" i="23"/>
  <c r="H60" i="23"/>
  <c r="G60" i="23"/>
  <c r="D60" i="23"/>
  <c r="K59" i="23"/>
  <c r="H59" i="23"/>
  <c r="G59" i="23"/>
  <c r="C59" i="23"/>
  <c r="K58" i="23"/>
  <c r="H58" i="23"/>
  <c r="G58" i="23"/>
  <c r="D58" i="23"/>
  <c r="C58" i="23"/>
  <c r="K57" i="23"/>
  <c r="G57" i="23"/>
  <c r="D57" i="23"/>
  <c r="K56" i="23"/>
  <c r="G56" i="23"/>
  <c r="D56" i="23"/>
  <c r="H55" i="23"/>
  <c r="C55" i="23"/>
  <c r="H54" i="23"/>
  <c r="C54" i="23"/>
  <c r="K53" i="23"/>
  <c r="H53" i="23"/>
  <c r="G53" i="23"/>
  <c r="D53" i="23"/>
  <c r="U14" i="25" l="1"/>
  <c r="C18" i="21"/>
  <c r="R22" i="25"/>
  <c r="U22" i="25" s="1"/>
  <c r="K14" i="24" s="1"/>
  <c r="U61" i="25"/>
  <c r="H16" i="23"/>
  <c r="H57" i="23" s="1"/>
  <c r="H15" i="23"/>
  <c r="H56" i="23" s="1"/>
  <c r="P16" i="22"/>
  <c r="Q16" i="22" s="1"/>
  <c r="C70" i="23"/>
  <c r="D54" i="23"/>
  <c r="C57" i="23"/>
  <c r="C61" i="23"/>
  <c r="C65" i="23"/>
  <c r="C69" i="23"/>
  <c r="C60" i="23"/>
  <c r="C64" i="23"/>
  <c r="C68" i="23"/>
  <c r="P17" i="22"/>
  <c r="Q17" i="22" s="1"/>
  <c r="P18" i="22"/>
  <c r="Q18" i="22" s="1"/>
  <c r="P19" i="22"/>
  <c r="Q19" i="22" s="1"/>
  <c r="P61" i="22"/>
  <c r="Q61" i="22" s="1"/>
  <c r="P57" i="22"/>
  <c r="Q57" i="22" s="1"/>
  <c r="P53" i="22"/>
  <c r="Q53" i="22" s="1"/>
  <c r="P49" i="22"/>
  <c r="Q49" i="22" s="1"/>
  <c r="P45" i="22"/>
  <c r="Q45" i="22" s="1"/>
  <c r="P41" i="22"/>
  <c r="Q41" i="22" s="1"/>
  <c r="P37" i="22"/>
  <c r="Q37" i="22" s="1"/>
  <c r="P33" i="22"/>
  <c r="Q33" i="22" s="1"/>
  <c r="P29" i="22"/>
  <c r="Q29" i="22" s="1"/>
  <c r="P25" i="22"/>
  <c r="Q25" i="22" s="1"/>
  <c r="P21" i="22"/>
  <c r="Q21" i="22" s="1"/>
  <c r="P15" i="22"/>
  <c r="Q15" i="22" s="1"/>
  <c r="P14" i="22"/>
  <c r="P62" i="22"/>
  <c r="P58" i="22"/>
  <c r="P54" i="22"/>
  <c r="P50" i="22"/>
  <c r="P46" i="22"/>
  <c r="P42" i="22"/>
  <c r="P38" i="22"/>
  <c r="P34" i="22"/>
  <c r="P30" i="22"/>
  <c r="P26" i="22"/>
  <c r="P22" i="22"/>
  <c r="P63" i="22"/>
  <c r="Q63" i="22" s="1"/>
  <c r="P59" i="22"/>
  <c r="Q59" i="22" s="1"/>
  <c r="P55" i="22"/>
  <c r="Q55" i="22" s="1"/>
  <c r="P51" i="22"/>
  <c r="Q51" i="22" s="1"/>
  <c r="P47" i="22"/>
  <c r="Q47" i="22" s="1"/>
  <c r="P43" i="22"/>
  <c r="Q43" i="22" s="1"/>
  <c r="P39" i="22"/>
  <c r="Q39" i="22" s="1"/>
  <c r="P35" i="22"/>
  <c r="Q35" i="22" s="1"/>
  <c r="P31" i="22"/>
  <c r="Q31" i="22" s="1"/>
  <c r="P27" i="22"/>
  <c r="Q27" i="22" s="1"/>
  <c r="P23" i="22"/>
  <c r="Q23" i="22" s="1"/>
  <c r="P60" i="22"/>
  <c r="Q60" i="22" s="1"/>
  <c r="P56" i="22"/>
  <c r="Q56" i="22" s="1"/>
  <c r="P52" i="22"/>
  <c r="Q52" i="22" s="1"/>
  <c r="P48" i="22"/>
  <c r="Q48" i="22" s="1"/>
  <c r="P44" i="22"/>
  <c r="Q44" i="22" s="1"/>
  <c r="P40" i="22"/>
  <c r="Q40" i="22" s="1"/>
  <c r="P36" i="22"/>
  <c r="Q36" i="22" s="1"/>
  <c r="P32" i="22"/>
  <c r="Q32" i="22" s="1"/>
  <c r="P28" i="22"/>
  <c r="Q28" i="22" s="1"/>
  <c r="P24" i="22"/>
  <c r="Q24" i="22" s="1"/>
  <c r="P20" i="22"/>
  <c r="Q20" i="22" s="1"/>
  <c r="C56" i="23"/>
  <c r="D59" i="23"/>
  <c r="D63" i="23"/>
  <c r="D67" i="23"/>
  <c r="C53" i="23"/>
  <c r="D55" i="23"/>
  <c r="C14" i="24" l="1"/>
  <c r="C14" i="21"/>
  <c r="R48" i="22"/>
  <c r="U48" i="22" s="1"/>
  <c r="R52" i="22"/>
  <c r="U52" i="22" s="1"/>
  <c r="R43" i="22"/>
  <c r="U43" i="22" s="1"/>
  <c r="R47" i="22"/>
  <c r="U47" i="22" s="1"/>
  <c r="R45" i="22"/>
  <c r="U45" i="22" s="1"/>
  <c r="R39" i="22"/>
  <c r="U39" i="22" s="1"/>
  <c r="R51" i="22"/>
  <c r="U51" i="22" s="1"/>
  <c r="R15" i="22"/>
  <c r="U15" i="22" s="1"/>
  <c r="R49" i="22"/>
  <c r="U49" i="22"/>
  <c r="R56" i="22"/>
  <c r="U56" i="22" s="1"/>
  <c r="R23" i="22"/>
  <c r="U23" i="22" s="1"/>
  <c r="R55" i="22"/>
  <c r="U55" i="22" s="1"/>
  <c r="R16" i="22"/>
  <c r="U16" i="22" s="1"/>
  <c r="R20" i="22"/>
  <c r="U20" i="22" s="1"/>
  <c r="I13" i="24" s="1"/>
  <c r="R32" i="22"/>
  <c r="U32" i="22" s="1"/>
  <c r="R27" i="22"/>
  <c r="U27" i="22"/>
  <c r="R59" i="22"/>
  <c r="U59" i="22" s="1"/>
  <c r="U25" i="22"/>
  <c r="R19" i="22"/>
  <c r="U19" i="22" s="1"/>
  <c r="H13" i="24" s="1"/>
  <c r="R28" i="22"/>
  <c r="U28" i="22"/>
  <c r="R36" i="22"/>
  <c r="U36" i="22" s="1"/>
  <c r="R31" i="22"/>
  <c r="U31" i="22" s="1"/>
  <c r="R63" i="22"/>
  <c r="U63" i="22" s="1"/>
  <c r="R61" i="22"/>
  <c r="U61" i="22"/>
  <c r="R24" i="22"/>
  <c r="U24" i="22"/>
  <c r="R60" i="22"/>
  <c r="U60" i="22"/>
  <c r="R40" i="22"/>
  <c r="U40" i="22"/>
  <c r="R44" i="22"/>
  <c r="U44" i="22"/>
  <c r="R35" i="22"/>
  <c r="U35" i="22"/>
  <c r="R18" i="22"/>
  <c r="U18" i="22" s="1"/>
  <c r="G13" i="24" s="1"/>
  <c r="R17" i="22"/>
  <c r="U17" i="22" s="1"/>
  <c r="F13" i="24" s="1"/>
  <c r="H32" i="23"/>
  <c r="H73" i="23" s="1"/>
  <c r="R29" i="22"/>
  <c r="U29" i="22" s="1"/>
  <c r="R33" i="22"/>
  <c r="U33" i="22" s="1"/>
  <c r="Q34" i="22"/>
  <c r="Q50" i="22"/>
  <c r="R21" i="22"/>
  <c r="U21" i="22" s="1"/>
  <c r="R37" i="22"/>
  <c r="U37" i="22" s="1"/>
  <c r="R53" i="22"/>
  <c r="U53" i="22" s="1"/>
  <c r="Q22" i="22"/>
  <c r="Q38" i="22"/>
  <c r="Q54" i="22"/>
  <c r="R25" i="22"/>
  <c r="R41" i="22"/>
  <c r="U41" i="22" s="1"/>
  <c r="R57" i="22"/>
  <c r="U57" i="22" s="1"/>
  <c r="Q26" i="22"/>
  <c r="Q42" i="22"/>
  <c r="Q58" i="22"/>
  <c r="Q30" i="22"/>
  <c r="Q46" i="22"/>
  <c r="Q62" i="22"/>
  <c r="Q14" i="22"/>
  <c r="R22" i="22" l="1"/>
  <c r="U22" i="22" s="1"/>
  <c r="R50" i="22"/>
  <c r="U50" i="22" s="1"/>
  <c r="R62" i="22"/>
  <c r="U62" i="22" s="1"/>
  <c r="R34" i="22"/>
  <c r="U34" i="22" s="1"/>
  <c r="R54" i="22"/>
  <c r="U54" i="22" s="1"/>
  <c r="R30" i="22"/>
  <c r="U30" i="22" s="1"/>
  <c r="R38" i="22"/>
  <c r="U38" i="22" s="1"/>
  <c r="E79" i="23"/>
  <c r="G13" i="23"/>
  <c r="G54" i="23" s="1"/>
  <c r="F79" i="23"/>
  <c r="G38" i="23"/>
  <c r="G79" i="23" s="1"/>
  <c r="I79" i="23"/>
  <c r="G14" i="23"/>
  <c r="G55" i="23" s="1"/>
  <c r="R46" i="22"/>
  <c r="U46" i="22" s="1"/>
  <c r="R58" i="22"/>
  <c r="U58" i="22" s="1"/>
  <c r="R26" i="22"/>
  <c r="U26" i="22" s="1"/>
  <c r="R42" i="22"/>
  <c r="U42" i="22" s="1"/>
  <c r="R14" i="22"/>
  <c r="U14" i="22" s="1"/>
  <c r="K55" i="23" l="1"/>
  <c r="K54" i="23"/>
  <c r="C11" i="21"/>
  <c r="K32" i="23" l="1"/>
  <c r="K73" i="23" l="1"/>
  <c r="K34" i="23"/>
  <c r="K75" i="23" s="1"/>
</calcChain>
</file>

<file path=xl/sharedStrings.xml><?xml version="1.0" encoding="utf-8"?>
<sst xmlns="http://schemas.openxmlformats.org/spreadsheetml/2006/main" count="196" uniqueCount="96">
  <si>
    <t>Empresa:</t>
  </si>
  <si>
    <t>Empresa ABCDE</t>
  </si>
  <si>
    <t>Colaborador</t>
  </si>
  <si>
    <t>Área</t>
  </si>
  <si>
    <t>Cargo</t>
  </si>
  <si>
    <t>Salário</t>
  </si>
  <si>
    <t>José da Silva</t>
  </si>
  <si>
    <t>Administrativo</t>
  </si>
  <si>
    <t>Assistente Administrativo</t>
  </si>
  <si>
    <t>João Alves</t>
  </si>
  <si>
    <t>Produção</t>
  </si>
  <si>
    <t>Auxiliar de PCP</t>
  </si>
  <si>
    <t>Paulo Vitor</t>
  </si>
  <si>
    <t>Almoxarifado</t>
  </si>
  <si>
    <t>Almoxarife</t>
  </si>
  <si>
    <t>Salário Base</t>
  </si>
  <si>
    <t>Data Admissão</t>
  </si>
  <si>
    <t>Recibo de Pagamento de Salário</t>
  </si>
  <si>
    <t xml:space="preserve">DECLARO TER RECEBIDO  A I MPOTÂNCIA LÍQUIDA DISCRIMINADA NESTE RECIBO
</t>
  </si>
  <si>
    <t>________________________________</t>
  </si>
  <si>
    <t>ASSINATURA DO FUNCIONÁRIO</t>
  </si>
  <si>
    <t>Código</t>
  </si>
  <si>
    <t>Nome do Funcionário</t>
  </si>
  <si>
    <t>CBO</t>
  </si>
  <si>
    <t>Cód.</t>
  </si>
  <si>
    <t>Descrição</t>
  </si>
  <si>
    <t>Referência</t>
  </si>
  <si>
    <t>Vencimentos</t>
  </si>
  <si>
    <t>Descontos</t>
  </si>
  <si>
    <t>_____/_____/_____</t>
  </si>
  <si>
    <t>DATA</t>
  </si>
  <si>
    <t>Total de Vencimentos</t>
  </si>
  <si>
    <t>Total de Descontos</t>
  </si>
  <si>
    <t>Valor Líquido</t>
  </si>
  <si>
    <t>Sal. Contr. INSS</t>
  </si>
  <si>
    <t>Base Cálc. FGTS</t>
  </si>
  <si>
    <t>FGTS do Mês</t>
  </si>
  <si>
    <t>Base Cálc. IRRF</t>
  </si>
  <si>
    <t>- - - - - - - - - - - - - - - - - - - - - - - - - - - - - - - - - - - - - - - - - - - - - - - - - - - - - - - - - - - - corte arqui - - - - - - - - - - - - - - - - - - - - - - - - - - - - - - - - - - - - - - - - - - - - - - - - - - - - - - - - - - - -</t>
  </si>
  <si>
    <r>
      <t xml:space="preserve">CADASTROS GERAIS
</t>
    </r>
    <r>
      <rPr>
        <b/>
        <sz val="11"/>
        <color theme="7"/>
        <rFont val="Calibri"/>
        <family val="2"/>
        <scheme val="minor"/>
      </rPr>
      <t>Insira as configurações necessárias para os cálculos da folha de pagamento.</t>
    </r>
  </si>
  <si>
    <t>% INSS</t>
  </si>
  <si>
    <t>% IR</t>
  </si>
  <si>
    <t>Dedução</t>
  </si>
  <si>
    <t>TABELA INSS</t>
  </si>
  <si>
    <t>TABELA IR</t>
  </si>
  <si>
    <t>CNPJ:</t>
  </si>
  <si>
    <t>INSS</t>
  </si>
  <si>
    <t>IR</t>
  </si>
  <si>
    <t>Outras Deduções</t>
  </si>
  <si>
    <t>Hora Extra</t>
  </si>
  <si>
    <t>Salário Líquido</t>
  </si>
  <si>
    <t>Valor Hora Extra</t>
  </si>
  <si>
    <t>Hora Extra 50%</t>
  </si>
  <si>
    <t>Hora Extra 100%</t>
  </si>
  <si>
    <t>% Insalubridade</t>
  </si>
  <si>
    <t>% Periculosidade</t>
  </si>
  <si>
    <t>Valor Insalubridade</t>
  </si>
  <si>
    <t>Valor Periculosidade</t>
  </si>
  <si>
    <t>Salário Bruto</t>
  </si>
  <si>
    <t>Matrícula</t>
  </si>
  <si>
    <t>Função</t>
  </si>
  <si>
    <t>SALARIO</t>
  </si>
  <si>
    <t>IRFF S.SALARIO</t>
  </si>
  <si>
    <t>30 d</t>
  </si>
  <si>
    <t>HORA EXTRA 50%</t>
  </si>
  <si>
    <t>HORA EXTRA 100%</t>
  </si>
  <si>
    <t>Salário Líquido Total:</t>
  </si>
  <si>
    <t>Total INSS:</t>
  </si>
  <si>
    <t>Total IR:</t>
  </si>
  <si>
    <t>Total Hora Extra:</t>
  </si>
  <si>
    <t>Rótulos de Linha</t>
  </si>
  <si>
    <t>(vazio)</t>
  </si>
  <si>
    <t>Total Geral</t>
  </si>
  <si>
    <t xml:space="preserve">Salário Líquido </t>
  </si>
  <si>
    <t>Outras Receitas</t>
  </si>
  <si>
    <t>Realizado</t>
  </si>
  <si>
    <t>Mês Referência</t>
  </si>
  <si>
    <t>Ano Referência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</si>
  <si>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</si>
  <si>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</si>
  <si>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</si>
  <si>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</si>
  <si>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</si>
  <si>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</si>
  <si>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</si>
  <si>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</si>
  <si>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</si>
  <si>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</si>
  <si>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</si>
  <si>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</si>
  <si>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Previsto</t>
  </si>
  <si>
    <t xml:space="preserve"> </t>
  </si>
  <si>
    <r>
      <t xml:space="preserve">CADASTRO DE COLABORADORES
</t>
    </r>
    <r>
      <rPr>
        <b/>
        <sz val="11"/>
        <color theme="7"/>
        <rFont val="Calibri"/>
        <family val="2"/>
        <scheme val="minor"/>
      </rPr>
      <t>Insira os dados previstos dos seus colaboradores.</t>
    </r>
  </si>
  <si>
    <t>Mês/ano</t>
  </si>
  <si>
    <t>Ano: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</si>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</sst>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R$&quot;* #,##0.00_-;\-&quot;R$&quot;* #,##0.00_-;_-&quot;R$&quot;* &quot;-&quot;??_-;_-@_-"/>
    <numFmt numFmtId="165" formatCode="0.0"/>
    <numFmt numFmtId="166" formatCode="000"/>
    <numFmt numFmtId="167" formatCode="00"/>
    <numFmt numFmtId="168" formatCode="0.0%"/>
  </numFmts>
  <fonts count="29"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xpaider pixel explosion 02"/>
    </font>
    <font>
      <sz val="10"/>
      <name val="Consolas"/>
      <family val="3"/>
    </font>
    <font>
      <b/>
      <sz val="11.5"/>
      <color theme="1" tint="0.499984740745262"/>
      <name val="Arial"/>
      <family val="2"/>
    </font>
    <font>
      <sz val="9"/>
      <color theme="1" tint="0.499984740745262"/>
      <name val="Calibri Light"/>
      <family val="2"/>
      <scheme val="major"/>
    </font>
    <font>
      <sz val="10"/>
      <color theme="1" tint="0.499984740745262"/>
      <name val="xpaider pixel explosion 02"/>
    </font>
    <font>
      <sz val="8"/>
      <color theme="1" tint="0.499984740745262"/>
      <name val="Calibri Light"/>
      <family val="2"/>
      <scheme val="major"/>
    </font>
    <font>
      <sz val="8"/>
      <name val="Calibri Light"/>
      <family val="2"/>
      <scheme val="major"/>
    </font>
    <font>
      <sz val="10"/>
      <color theme="0"/>
      <name val="xpaider pixel explosion 02"/>
    </font>
    <font>
      <sz val="11"/>
      <color theme="1" tint="0.499984740745262"/>
      <name val="Calibri Light"/>
      <family val="2"/>
      <scheme val="major"/>
    </font>
    <font>
      <sz val="7"/>
      <color theme="1" tint="0.499984740745262"/>
      <name val="Calibri Light"/>
      <family val="2"/>
      <scheme val="major"/>
    </font>
    <font>
      <sz val="8"/>
      <color theme="0" tint="-0.499984740745262"/>
      <name val="Arial"/>
      <family val="2"/>
    </font>
    <font>
      <sz val="11"/>
      <color theme="8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4" tint="0.79998168889431442"/>
      <name val="xpaider pixel explosion 02"/>
    </font>
    <font>
      <b/>
      <sz val="10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/>
      <bottom/>
      <diagonal/>
    </border>
  </borders>
  <cellStyleXfs count="5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</cellStyleXfs>
  <cellXfs count="24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0" borderId="4" xfId="0" applyBorder="1" applyAlignment="1">
      <alignment horizontal="center"/>
    </xf>
    <xf numFmtId="164" fontId="0" fillId="5" borderId="4" xfId="0" applyNumberFormat="1" applyFill="1" applyBorder="1"/>
    <xf numFmtId="164" fontId="0" fillId="0" borderId="4" xfId="0" applyNumberFormat="1" applyBorder="1"/>
    <xf numFmtId="165" fontId="0" fillId="0" borderId="0" xfId="0" applyNumberFormat="1"/>
    <xf numFmtId="0" fontId="4" fillId="0" borderId="0" xfId="0" applyFont="1" applyAlignment="1">
      <alignment horizontal="center" vertical="center"/>
    </xf>
    <xf numFmtId="0" fontId="3" fillId="4" borderId="4" xfId="0" applyFont="1" applyFill="1" applyBorder="1" applyAlignment="1">
      <alignment horizontal="center" vertical="center" wrapText="1"/>
    </xf>
    <xf numFmtId="0" fontId="0" fillId="0" borderId="4" xfId="0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2" borderId="0" xfId="0" applyNumberFormat="1" applyFill="1"/>
    <xf numFmtId="0" fontId="0" fillId="2" borderId="0" xfId="0" applyFill="1" applyAlignment="1">
      <alignment horizontal="center"/>
    </xf>
    <xf numFmtId="14" fontId="0" fillId="0" borderId="4" xfId="0" applyNumberFormat="1" applyBorder="1" applyAlignment="1">
      <alignment horizontal="center"/>
    </xf>
    <xf numFmtId="0" fontId="10" fillId="6" borderId="0" xfId="3" applyFont="1" applyFill="1"/>
    <xf numFmtId="0" fontId="10" fillId="7" borderId="9" xfId="3" applyFont="1" applyFill="1" applyBorder="1"/>
    <xf numFmtId="0" fontId="10" fillId="7" borderId="10" xfId="3" applyFont="1" applyFill="1" applyBorder="1"/>
    <xf numFmtId="0" fontId="10" fillId="7" borderId="11" xfId="3" applyFont="1" applyFill="1" applyBorder="1"/>
    <xf numFmtId="0" fontId="10" fillId="0" borderId="0" xfId="3" applyFont="1"/>
    <xf numFmtId="0" fontId="10" fillId="7" borderId="12" xfId="3" applyFont="1" applyFill="1" applyBorder="1"/>
    <xf numFmtId="0" fontId="10" fillId="7" borderId="0" xfId="3" applyFont="1" applyFill="1"/>
    <xf numFmtId="0" fontId="14" fillId="7" borderId="14" xfId="3" applyFont="1" applyFill="1" applyBorder="1"/>
    <xf numFmtId="0" fontId="14" fillId="7" borderId="15" xfId="3" applyFont="1" applyFill="1" applyBorder="1"/>
    <xf numFmtId="0" fontId="10" fillId="7" borderId="16" xfId="3" applyFont="1" applyFill="1" applyBorder="1"/>
    <xf numFmtId="0" fontId="14" fillId="7" borderId="18" xfId="3" applyFont="1" applyFill="1" applyBorder="1" applyAlignment="1">
      <alignment vertical="distributed" textRotation="90"/>
    </xf>
    <xf numFmtId="0" fontId="16" fillId="6" borderId="0" xfId="3" applyFont="1" applyFill="1" applyAlignment="1">
      <alignment horizontal="right" vertical="top"/>
    </xf>
    <xf numFmtId="0" fontId="16" fillId="7" borderId="12" xfId="3" applyFont="1" applyFill="1" applyBorder="1" applyAlignment="1">
      <alignment horizontal="right" vertical="top"/>
    </xf>
    <xf numFmtId="0" fontId="15" fillId="8" borderId="13" xfId="3" applyFont="1" applyFill="1" applyBorder="1" applyAlignment="1">
      <alignment horizontal="right" vertical="top"/>
    </xf>
    <xf numFmtId="0" fontId="15" fillId="8" borderId="14" xfId="3" applyFont="1" applyFill="1" applyBorder="1" applyAlignment="1">
      <alignment horizontal="left" vertical="top" indent="2"/>
    </xf>
    <xf numFmtId="0" fontId="15" fillId="8" borderId="14" xfId="3" applyFont="1" applyFill="1" applyBorder="1" applyAlignment="1">
      <alignment horizontal="left" vertical="top"/>
    </xf>
    <xf numFmtId="0" fontId="15" fillId="8" borderId="14" xfId="3" applyFont="1" applyFill="1" applyBorder="1" applyAlignment="1">
      <alignment horizontal="center" vertical="top"/>
    </xf>
    <xf numFmtId="0" fontId="15" fillId="8" borderId="14" xfId="3" applyFont="1" applyFill="1" applyBorder="1" applyAlignment="1">
      <alignment horizontal="right" vertical="top"/>
    </xf>
    <xf numFmtId="0" fontId="15" fillId="8" borderId="15" xfId="3" applyFont="1" applyFill="1" applyBorder="1" applyAlignment="1">
      <alignment horizontal="center" vertical="top"/>
    </xf>
    <xf numFmtId="0" fontId="16" fillId="7" borderId="0" xfId="3" applyFont="1" applyFill="1" applyAlignment="1">
      <alignment horizontal="right" vertical="top"/>
    </xf>
    <xf numFmtId="0" fontId="16" fillId="7" borderId="16" xfId="3" applyFont="1" applyFill="1" applyBorder="1" applyAlignment="1">
      <alignment horizontal="right" vertical="top"/>
    </xf>
    <xf numFmtId="0" fontId="16" fillId="0" borderId="0" xfId="3" applyFont="1" applyAlignment="1">
      <alignment horizontal="right" vertical="top"/>
    </xf>
    <xf numFmtId="166" fontId="11" fillId="7" borderId="19" xfId="3" applyNumberFormat="1" applyFont="1" applyFill="1" applyBorder="1" applyAlignment="1">
      <alignment horizontal="center"/>
    </xf>
    <xf numFmtId="0" fontId="15" fillId="8" borderId="22" xfId="3" applyFont="1" applyFill="1" applyBorder="1" applyAlignment="1">
      <alignment horizontal="center" vertical="center"/>
    </xf>
    <xf numFmtId="0" fontId="15" fillId="7" borderId="0" xfId="3" applyFont="1" applyFill="1" applyAlignment="1">
      <alignment horizontal="center" vertical="center"/>
    </xf>
    <xf numFmtId="0" fontId="17" fillId="7" borderId="12" xfId="3" applyFont="1" applyFill="1" applyBorder="1"/>
    <xf numFmtId="167" fontId="11" fillId="8" borderId="23" xfId="3" applyNumberFormat="1" applyFont="1" applyFill="1" applyBorder="1" applyAlignment="1">
      <alignment horizontal="center" vertical="top"/>
    </xf>
    <xf numFmtId="10" fontId="11" fillId="8" borderId="23" xfId="4" applyNumberFormat="1" applyFont="1" applyFill="1" applyBorder="1" applyAlignment="1">
      <alignment horizontal="center" vertical="top"/>
    </xf>
    <xf numFmtId="167" fontId="11" fillId="8" borderId="24" xfId="3" applyNumberFormat="1" applyFont="1" applyFill="1" applyBorder="1" applyAlignment="1">
      <alignment horizontal="center" vertical="top"/>
    </xf>
    <xf numFmtId="10" fontId="11" fillId="8" borderId="24" xfId="4" applyNumberFormat="1" applyFont="1" applyFill="1" applyBorder="1" applyAlignment="1">
      <alignment horizontal="center" vertical="top"/>
    </xf>
    <xf numFmtId="0" fontId="14" fillId="7" borderId="0" xfId="3" applyFont="1" applyFill="1"/>
    <xf numFmtId="0" fontId="14" fillId="7" borderId="18" xfId="3" applyFont="1" applyFill="1" applyBorder="1"/>
    <xf numFmtId="167" fontId="11" fillId="8" borderId="25" xfId="3" applyNumberFormat="1" applyFont="1" applyFill="1" applyBorder="1" applyAlignment="1">
      <alignment horizontal="center" vertical="top"/>
    </xf>
    <xf numFmtId="10" fontId="11" fillId="8" borderId="25" xfId="4" applyNumberFormat="1" applyFont="1" applyFill="1" applyBorder="1" applyAlignment="1">
      <alignment horizontal="center" vertical="top"/>
    </xf>
    <xf numFmtId="49" fontId="11" fillId="7" borderId="0" xfId="3" applyNumberFormat="1" applyFont="1" applyFill="1" applyAlignment="1">
      <alignment horizontal="center"/>
    </xf>
    <xf numFmtId="0" fontId="11" fillId="7" borderId="0" xfId="3" applyFont="1" applyFill="1" applyAlignment="1">
      <alignment horizontal="center"/>
    </xf>
    <xf numFmtId="0" fontId="19" fillId="7" borderId="0" xfId="3" applyFont="1" applyFill="1" applyAlignment="1">
      <alignment horizontal="left" vertical="center"/>
    </xf>
    <xf numFmtId="4" fontId="11" fillId="7" borderId="0" xfId="3" applyNumberFormat="1" applyFont="1" applyFill="1" applyAlignment="1">
      <alignment horizontal="center" vertical="center"/>
    </xf>
    <xf numFmtId="0" fontId="16" fillId="6" borderId="0" xfId="3" applyFont="1" applyFill="1" applyAlignment="1">
      <alignment vertical="top"/>
    </xf>
    <xf numFmtId="0" fontId="16" fillId="7" borderId="12" xfId="3" applyFont="1" applyFill="1" applyBorder="1" applyAlignment="1">
      <alignment vertical="top"/>
    </xf>
    <xf numFmtId="0" fontId="15" fillId="8" borderId="14" xfId="3" applyFont="1" applyFill="1" applyBorder="1" applyAlignment="1">
      <alignment horizontal="left" vertical="top" indent="1"/>
    </xf>
    <xf numFmtId="0" fontId="16" fillId="7" borderId="0" xfId="3" applyFont="1" applyFill="1" applyAlignment="1">
      <alignment vertical="top"/>
    </xf>
    <xf numFmtId="0" fontId="16" fillId="7" borderId="16" xfId="3" applyFont="1" applyFill="1" applyBorder="1" applyAlignment="1">
      <alignment vertical="top"/>
    </xf>
    <xf numFmtId="0" fontId="16" fillId="0" borderId="0" xfId="3" applyFont="1" applyAlignment="1">
      <alignment vertical="top"/>
    </xf>
    <xf numFmtId="4" fontId="11" fillId="7" borderId="20" xfId="3" applyNumberFormat="1" applyFont="1" applyFill="1" applyBorder="1" applyAlignment="1">
      <alignment horizontal="left"/>
    </xf>
    <xf numFmtId="4" fontId="11" fillId="7" borderId="20" xfId="3" applyNumberFormat="1" applyFont="1" applyFill="1" applyBorder="1" applyAlignment="1">
      <alignment horizontal="left" indent="1"/>
    </xf>
    <xf numFmtId="0" fontId="18" fillId="7" borderId="20" xfId="3" applyFont="1" applyFill="1" applyBorder="1" applyAlignment="1">
      <alignment vertical="distributed" textRotation="90"/>
    </xf>
    <xf numFmtId="0" fontId="18" fillId="7" borderId="21" xfId="3" applyFont="1" applyFill="1" applyBorder="1" applyAlignment="1">
      <alignment vertical="distributed" textRotation="90"/>
    </xf>
    <xf numFmtId="0" fontId="10" fillId="7" borderId="26" xfId="3" applyFont="1" applyFill="1" applyBorder="1"/>
    <xf numFmtId="0" fontId="10" fillId="7" borderId="27" xfId="3" applyFont="1" applyFill="1" applyBorder="1"/>
    <xf numFmtId="0" fontId="10" fillId="7" borderId="28" xfId="3" applyFont="1" applyFill="1" applyBorder="1"/>
    <xf numFmtId="0" fontId="20" fillId="6" borderId="0" xfId="3" applyFont="1" applyFill="1" applyAlignment="1">
      <alignment horizontal="center" vertical="center"/>
    </xf>
    <xf numFmtId="0" fontId="11" fillId="8" borderId="23" xfId="3" applyFont="1" applyFill="1" applyBorder="1" applyAlignment="1">
      <alignment horizontal="center" vertical="top"/>
    </xf>
    <xf numFmtId="0" fontId="11" fillId="8" borderId="24" xfId="3" applyFont="1" applyFill="1" applyBorder="1" applyAlignment="1">
      <alignment horizontal="center" vertical="top"/>
    </xf>
    <xf numFmtId="0" fontId="11" fillId="8" borderId="25" xfId="3" applyFont="1" applyFill="1" applyBorder="1" applyAlignment="1">
      <alignment horizontal="center" vertical="top"/>
    </xf>
    <xf numFmtId="2" fontId="11" fillId="7" borderId="20" xfId="3" applyNumberFormat="1" applyFont="1" applyFill="1" applyBorder="1" applyAlignment="1">
      <alignment horizontal="left"/>
    </xf>
    <xf numFmtId="2" fontId="11" fillId="7" borderId="20" xfId="3" applyNumberFormat="1" applyFont="1" applyFill="1" applyBorder="1" applyAlignment="1">
      <alignment horizontal="left" indent="1"/>
    </xf>
    <xf numFmtId="164" fontId="0" fillId="0" borderId="29" xfId="1" applyFont="1" applyBorder="1"/>
    <xf numFmtId="168" fontId="0" fillId="0" borderId="29" xfId="2" applyNumberFormat="1" applyFont="1" applyBorder="1" applyAlignment="1">
      <alignment horizontal="center"/>
    </xf>
    <xf numFmtId="164" fontId="0" fillId="0" borderId="29" xfId="0" applyNumberFormat="1" applyBorder="1"/>
    <xf numFmtId="0" fontId="21" fillId="5" borderId="29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2" fillId="3" borderId="0" xfId="0" applyNumberFormat="1" applyFont="1" applyFill="1" applyBorder="1" applyAlignment="1">
      <alignment horizontal="left" vertical="center" wrapText="1"/>
    </xf>
    <xf numFmtId="0" fontId="0" fillId="0" borderId="0" xfId="0" applyNumberFormat="1"/>
    <xf numFmtId="0" fontId="0" fillId="2" borderId="0" xfId="0" applyNumberFormat="1" applyFill="1"/>
    <xf numFmtId="9" fontId="0" fillId="0" borderId="0" xfId="2" applyFont="1" applyAlignment="1">
      <alignment horizontal="center"/>
    </xf>
    <xf numFmtId="9" fontId="0" fillId="2" borderId="0" xfId="2" applyFont="1" applyFill="1" applyAlignment="1">
      <alignment horizontal="center"/>
    </xf>
    <xf numFmtId="9" fontId="2" fillId="3" borderId="0" xfId="2" applyFont="1" applyFill="1" applyBorder="1" applyAlignment="1">
      <alignment horizontal="left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64" fontId="3" fillId="4" borderId="4" xfId="0" applyNumberFormat="1" applyFont="1" applyFill="1" applyBorder="1" applyAlignment="1">
      <alignment horizontal="center" vertical="center" wrapText="1"/>
    </xf>
    <xf numFmtId="0" fontId="3" fillId="4" borderId="1" xfId="0" applyNumberFormat="1" applyFont="1" applyFill="1" applyBorder="1" applyAlignment="1">
      <alignment horizontal="center" vertical="center" wrapText="1"/>
    </xf>
    <xf numFmtId="9" fontId="3" fillId="4" borderId="1" xfId="2" applyFont="1" applyFill="1" applyBorder="1" applyAlignment="1">
      <alignment horizontal="center" vertical="center" wrapText="1"/>
    </xf>
    <xf numFmtId="0" fontId="3" fillId="4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9" fontId="0" fillId="0" borderId="4" xfId="2" applyFont="1" applyBorder="1" applyAlignment="1">
      <alignment horizontal="center"/>
    </xf>
    <xf numFmtId="164" fontId="0" fillId="5" borderId="4" xfId="1" applyNumberFormat="1" applyFont="1" applyFill="1" applyBorder="1"/>
    <xf numFmtId="0" fontId="0" fillId="0" borderId="4" xfId="0" applyNumberFormat="1" applyBorder="1"/>
    <xf numFmtId="0" fontId="2" fillId="3" borderId="6" xfId="0" applyFont="1" applyFill="1" applyBorder="1" applyAlignment="1">
      <alignment horizontal="left" vertical="center" wrapText="1"/>
    </xf>
    <xf numFmtId="0" fontId="11" fillId="7" borderId="20" xfId="3" applyFont="1" applyFill="1" applyBorder="1" applyAlignment="1">
      <alignment vertical="center"/>
    </xf>
    <xf numFmtId="0" fontId="11" fillId="7" borderId="21" xfId="3" applyFont="1" applyFill="1" applyBorder="1" applyAlignment="1">
      <alignment vertical="center"/>
    </xf>
    <xf numFmtId="0" fontId="11" fillId="7" borderId="20" xfId="3" applyFont="1" applyFill="1" applyBorder="1" applyAlignment="1">
      <alignment horizontal="center" vertical="center"/>
    </xf>
    <xf numFmtId="49" fontId="11" fillId="7" borderId="20" xfId="3" applyNumberFormat="1" applyFont="1" applyFill="1" applyBorder="1" applyAlignment="1">
      <alignment vertical="center"/>
    </xf>
    <xf numFmtId="49" fontId="11" fillId="7" borderId="21" xfId="3" applyNumberFormat="1" applyFont="1" applyFill="1" applyBorder="1" applyAlignment="1">
      <alignment vertical="center"/>
    </xf>
    <xf numFmtId="49" fontId="11" fillId="7" borderId="20" xfId="3" applyNumberFormat="1" applyFont="1" applyFill="1" applyBorder="1" applyAlignment="1">
      <alignment horizontal="center" vertical="center"/>
    </xf>
    <xf numFmtId="49" fontId="11" fillId="7" borderId="20" xfId="3" applyNumberFormat="1" applyFont="1" applyFill="1" applyBorder="1" applyAlignment="1">
      <alignment horizontal="left" vertical="center"/>
    </xf>
    <xf numFmtId="0" fontId="11" fillId="8" borderId="24" xfId="4" applyNumberFormat="1" applyFont="1" applyFill="1" applyBorder="1" applyAlignment="1">
      <alignment horizontal="center" vertical="top"/>
    </xf>
    <xf numFmtId="0" fontId="3" fillId="5" borderId="0" xfId="0" applyFont="1" applyFill="1" applyAlignment="1">
      <alignment vertical="center"/>
    </xf>
    <xf numFmtId="164" fontId="22" fillId="4" borderId="0" xfId="0" applyNumberFormat="1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0" fontId="0" fillId="5" borderId="4" xfId="0" applyFill="1" applyBorder="1"/>
    <xf numFmtId="0" fontId="0" fillId="5" borderId="29" xfId="0" applyFill="1" applyBorder="1"/>
    <xf numFmtId="0" fontId="23" fillId="5" borderId="2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3" borderId="6" xfId="0" applyFont="1" applyFill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0" fillId="0" borderId="4" xfId="0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26" fillId="0" borderId="29" xfId="0" applyFont="1" applyBorder="1" applyAlignment="1">
      <alignment horizontal="center" vertical="center"/>
    </xf>
    <xf numFmtId="49" fontId="0" fillId="0" borderId="0" xfId="0" applyNumberFormat="1"/>
    <xf numFmtId="49" fontId="11" fillId="0" borderId="20" xfId="3" quotePrefix="1" applyNumberFormat="1" applyFont="1" applyFill="1" applyBorder="1" applyAlignment="1">
      <alignment horizontal="center"/>
    </xf>
    <xf numFmtId="0" fontId="27" fillId="6" borderId="0" xfId="3" applyFont="1" applyFill="1"/>
    <xf numFmtId="166" fontId="28" fillId="9" borderId="19" xfId="3" applyNumberFormat="1" applyFont="1" applyFill="1" applyBorder="1" applyAlignment="1">
      <alignment horizontal="center"/>
    </xf>
    <xf numFmtId="49" fontId="11" fillId="7" borderId="20" xfId="3" applyNumberFormat="1" applyFont="1" applyFill="1" applyBorder="1" applyAlignment="1"/>
    <xf numFmtId="0" fontId="10" fillId="0" borderId="20" xfId="3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2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/>
    </xf>
    <xf numFmtId="0" fontId="21" fillId="4" borderId="29" xfId="0" applyFont="1" applyFill="1" applyBorder="1" applyAlignment="1">
      <alignment horizontal="center"/>
    </xf>
    <xf numFmtId="0" fontId="21" fillId="5" borderId="29" xfId="0" applyFont="1" applyFill="1" applyBorder="1" applyAlignment="1">
      <alignment horizontal="left"/>
    </xf>
    <xf numFmtId="0" fontId="0" fillId="0" borderId="29" xfId="0" applyBorder="1" applyAlignment="1">
      <alignment horizontal="center"/>
    </xf>
    <xf numFmtId="0" fontId="2" fillId="3" borderId="3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left" vertical="center" wrapText="1"/>
    </xf>
    <xf numFmtId="0" fontId="15" fillId="8" borderId="13" xfId="3" applyFont="1" applyFill="1" applyBorder="1" applyAlignment="1">
      <alignment horizontal="left" vertical="top" indent="1"/>
    </xf>
    <xf numFmtId="0" fontId="15" fillId="8" borderId="14" xfId="3" applyFont="1" applyFill="1" applyBorder="1" applyAlignment="1">
      <alignment horizontal="left" vertical="top" indent="1"/>
    </xf>
    <xf numFmtId="0" fontId="15" fillId="8" borderId="14" xfId="3" applyFont="1" applyFill="1" applyBorder="1" applyAlignment="1">
      <alignment horizontal="center" vertical="top"/>
    </xf>
    <xf numFmtId="0" fontId="15" fillId="8" borderId="15" xfId="3" applyFont="1" applyFill="1" applyBorder="1" applyAlignment="1">
      <alignment horizontal="center" vertical="top"/>
    </xf>
    <xf numFmtId="2" fontId="11" fillId="7" borderId="19" xfId="3" applyNumberFormat="1" applyFont="1" applyFill="1" applyBorder="1" applyAlignment="1">
      <alignment horizontal="left" indent="1"/>
    </xf>
    <xf numFmtId="2" fontId="11" fillId="7" borderId="20" xfId="3" applyNumberFormat="1" applyFont="1" applyFill="1" applyBorder="1" applyAlignment="1">
      <alignment horizontal="left" indent="1"/>
    </xf>
    <xf numFmtId="2" fontId="11" fillId="7" borderId="20" xfId="3" applyNumberFormat="1" applyFont="1" applyFill="1" applyBorder="1" applyAlignment="1">
      <alignment horizontal="center"/>
    </xf>
    <xf numFmtId="167" fontId="11" fillId="7" borderId="20" xfId="3" applyNumberFormat="1" applyFont="1" applyFill="1" applyBorder="1" applyAlignment="1">
      <alignment horizontal="center"/>
    </xf>
    <xf numFmtId="167" fontId="11" fillId="7" borderId="21" xfId="3" applyNumberFormat="1" applyFont="1" applyFill="1" applyBorder="1" applyAlignment="1">
      <alignment horizontal="center"/>
    </xf>
    <xf numFmtId="4" fontId="11" fillId="7" borderId="0" xfId="3" applyNumberFormat="1" applyFont="1" applyFill="1" applyAlignment="1">
      <alignment horizontal="center"/>
    </xf>
    <xf numFmtId="0" fontId="11" fillId="7" borderId="13" xfId="3" applyFont="1" applyFill="1" applyBorder="1" applyAlignment="1">
      <alignment horizontal="center"/>
    </xf>
    <xf numFmtId="0" fontId="11" fillId="7" borderId="14" xfId="3" applyFont="1" applyFill="1" applyBorder="1" applyAlignment="1">
      <alignment horizontal="center"/>
    </xf>
    <xf numFmtId="0" fontId="11" fillId="7" borderId="15" xfId="3" applyFont="1" applyFill="1" applyBorder="1" applyAlignment="1">
      <alignment horizontal="center"/>
    </xf>
    <xf numFmtId="0" fontId="11" fillId="7" borderId="17" xfId="3" applyFont="1" applyFill="1" applyBorder="1" applyAlignment="1">
      <alignment horizontal="center"/>
    </xf>
    <xf numFmtId="0" fontId="11" fillId="7" borderId="0" xfId="3" applyFont="1" applyFill="1" applyAlignment="1">
      <alignment horizontal="center"/>
    </xf>
    <xf numFmtId="0" fontId="11" fillId="7" borderId="18" xfId="3" applyFont="1" applyFill="1" applyBorder="1" applyAlignment="1">
      <alignment horizontal="center"/>
    </xf>
    <xf numFmtId="0" fontId="11" fillId="7" borderId="19" xfId="3" applyFont="1" applyFill="1" applyBorder="1" applyAlignment="1">
      <alignment horizontal="center"/>
    </xf>
    <xf numFmtId="0" fontId="11" fillId="7" borderId="20" xfId="3" applyFont="1" applyFill="1" applyBorder="1" applyAlignment="1">
      <alignment horizontal="center"/>
    </xf>
    <xf numFmtId="0" fontId="11" fillId="7" borderId="21" xfId="3" applyFont="1" applyFill="1" applyBorder="1" applyAlignment="1">
      <alignment horizontal="center"/>
    </xf>
    <xf numFmtId="0" fontId="19" fillId="8" borderId="13" xfId="3" applyFont="1" applyFill="1" applyBorder="1" applyAlignment="1">
      <alignment horizontal="center" vertical="top"/>
    </xf>
    <xf numFmtId="0" fontId="19" fillId="8" borderId="14" xfId="3" applyFont="1" applyFill="1" applyBorder="1" applyAlignment="1">
      <alignment horizontal="center" vertical="top"/>
    </xf>
    <xf numFmtId="0" fontId="19" fillId="8" borderId="15" xfId="3" applyFont="1" applyFill="1" applyBorder="1" applyAlignment="1">
      <alignment horizontal="center" vertical="top"/>
    </xf>
    <xf numFmtId="2" fontId="11" fillId="8" borderId="19" xfId="3" applyNumberFormat="1" applyFont="1" applyFill="1" applyBorder="1" applyAlignment="1">
      <alignment horizontal="center"/>
    </xf>
    <xf numFmtId="2" fontId="11" fillId="8" borderId="20" xfId="3" applyNumberFormat="1" applyFont="1" applyFill="1" applyBorder="1" applyAlignment="1">
      <alignment horizontal="center"/>
    </xf>
    <xf numFmtId="2" fontId="11" fillId="8" borderId="21" xfId="3" applyNumberFormat="1" applyFont="1" applyFill="1" applyBorder="1" applyAlignment="1">
      <alignment horizontal="center"/>
    </xf>
    <xf numFmtId="4" fontId="11" fillId="8" borderId="19" xfId="3" applyNumberFormat="1" applyFont="1" applyFill="1" applyBorder="1" applyAlignment="1">
      <alignment horizontal="center"/>
    </xf>
    <xf numFmtId="4" fontId="11" fillId="8" borderId="20" xfId="3" applyNumberFormat="1" applyFont="1" applyFill="1" applyBorder="1" applyAlignment="1">
      <alignment horizontal="center"/>
    </xf>
    <xf numFmtId="4" fontId="11" fillId="8" borderId="21" xfId="3" applyNumberFormat="1" applyFont="1" applyFill="1" applyBorder="1" applyAlignment="1">
      <alignment horizontal="center"/>
    </xf>
    <xf numFmtId="2" fontId="11" fillId="7" borderId="0" xfId="3" applyNumberFormat="1" applyFont="1" applyFill="1" applyAlignment="1">
      <alignment horizontal="center"/>
    </xf>
    <xf numFmtId="0" fontId="19" fillId="8" borderId="13" xfId="3" applyFont="1" applyFill="1" applyBorder="1" applyAlignment="1">
      <alignment horizontal="left" vertical="center"/>
    </xf>
    <xf numFmtId="0" fontId="19" fillId="8" borderId="14" xfId="3" applyFont="1" applyFill="1" applyBorder="1" applyAlignment="1">
      <alignment horizontal="left" vertical="center"/>
    </xf>
    <xf numFmtId="0" fontId="19" fillId="8" borderId="19" xfId="3" applyFont="1" applyFill="1" applyBorder="1" applyAlignment="1">
      <alignment horizontal="left" vertical="center"/>
    </xf>
    <xf numFmtId="0" fontId="19" fillId="8" borderId="20" xfId="3" applyFont="1" applyFill="1" applyBorder="1" applyAlignment="1">
      <alignment horizontal="left" vertical="center"/>
    </xf>
    <xf numFmtId="4" fontId="11" fillId="7" borderId="13" xfId="3" applyNumberFormat="1" applyFont="1" applyFill="1" applyBorder="1" applyAlignment="1">
      <alignment horizontal="center" vertical="center"/>
    </xf>
    <xf numFmtId="4" fontId="11" fillId="7" borderId="14" xfId="3" applyNumberFormat="1" applyFont="1" applyFill="1" applyBorder="1" applyAlignment="1">
      <alignment horizontal="center" vertical="center"/>
    </xf>
    <xf numFmtId="4" fontId="11" fillId="7" borderId="15" xfId="3" applyNumberFormat="1" applyFont="1" applyFill="1" applyBorder="1" applyAlignment="1">
      <alignment horizontal="center" vertical="center"/>
    </xf>
    <xf numFmtId="4" fontId="11" fillId="7" borderId="19" xfId="3" applyNumberFormat="1" applyFont="1" applyFill="1" applyBorder="1" applyAlignment="1">
      <alignment horizontal="center" vertical="center"/>
    </xf>
    <xf numFmtId="4" fontId="11" fillId="7" borderId="20" xfId="3" applyNumberFormat="1" applyFont="1" applyFill="1" applyBorder="1" applyAlignment="1">
      <alignment horizontal="center" vertical="center"/>
    </xf>
    <xf numFmtId="4" fontId="11" fillId="7" borderId="21" xfId="3" applyNumberFormat="1" applyFont="1" applyFill="1" applyBorder="1" applyAlignment="1">
      <alignment horizontal="center" vertical="center"/>
    </xf>
    <xf numFmtId="0" fontId="18" fillId="7" borderId="0" xfId="3" applyFont="1" applyFill="1" applyAlignment="1">
      <alignment horizontal="right" vertical="center" textRotation="90"/>
    </xf>
    <xf numFmtId="0" fontId="15" fillId="7" borderId="18" xfId="3" applyFont="1" applyFill="1" applyBorder="1" applyAlignment="1">
      <alignment vertical="center" textRotation="90"/>
    </xf>
    <xf numFmtId="0" fontId="11" fillId="8" borderId="24" xfId="3" applyFont="1" applyFill="1" applyBorder="1" applyAlignment="1">
      <alignment horizontal="left" vertical="top"/>
    </xf>
    <xf numFmtId="4" fontId="11" fillId="8" borderId="24" xfId="3" applyNumberFormat="1" applyFont="1" applyFill="1" applyBorder="1" applyAlignment="1">
      <alignment horizontal="right" vertical="top" indent="1"/>
    </xf>
    <xf numFmtId="0" fontId="11" fillId="8" borderId="24" xfId="3" applyFont="1" applyFill="1" applyBorder="1" applyAlignment="1">
      <alignment horizontal="right" vertical="top" indent="1"/>
    </xf>
    <xf numFmtId="4" fontId="11" fillId="8" borderId="24" xfId="3" applyNumberFormat="1" applyFont="1" applyFill="1" applyBorder="1" applyAlignment="1">
      <alignment horizontal="right" vertical="top"/>
    </xf>
    <xf numFmtId="0" fontId="11" fillId="8" borderId="24" xfId="3" applyFont="1" applyFill="1" applyBorder="1" applyAlignment="1">
      <alignment horizontal="right" vertical="top"/>
    </xf>
    <xf numFmtId="0" fontId="11" fillId="8" borderId="25" xfId="3" applyFont="1" applyFill="1" applyBorder="1" applyAlignment="1">
      <alignment horizontal="left" vertical="top"/>
    </xf>
    <xf numFmtId="4" fontId="11" fillId="8" borderId="25" xfId="3" applyNumberFormat="1" applyFont="1" applyFill="1" applyBorder="1" applyAlignment="1">
      <alignment horizontal="right" vertical="top" indent="1"/>
    </xf>
    <xf numFmtId="0" fontId="11" fillId="8" borderId="25" xfId="3" applyFont="1" applyFill="1" applyBorder="1" applyAlignment="1">
      <alignment horizontal="right" vertical="top" indent="1"/>
    </xf>
    <xf numFmtId="4" fontId="11" fillId="8" borderId="25" xfId="3" applyNumberFormat="1" applyFont="1" applyFill="1" applyBorder="1" applyAlignment="1">
      <alignment horizontal="right" vertical="top"/>
    </xf>
    <xf numFmtId="0" fontId="11" fillId="8" borderId="25" xfId="3" applyFont="1" applyFill="1" applyBorder="1" applyAlignment="1">
      <alignment horizontal="right" vertical="top"/>
    </xf>
    <xf numFmtId="49" fontId="11" fillId="7" borderId="0" xfId="3" applyNumberFormat="1" applyFont="1" applyFill="1" applyAlignment="1">
      <alignment horizontal="left"/>
    </xf>
    <xf numFmtId="4" fontId="11" fillId="8" borderId="23" xfId="3" applyNumberFormat="1" applyFont="1" applyFill="1" applyBorder="1" applyAlignment="1">
      <alignment horizontal="right" vertical="top"/>
    </xf>
    <xf numFmtId="0" fontId="11" fillId="8" borderId="23" xfId="3" applyFont="1" applyFill="1" applyBorder="1" applyAlignment="1">
      <alignment horizontal="right" vertical="top"/>
    </xf>
    <xf numFmtId="0" fontId="15" fillId="8" borderId="22" xfId="3" applyFont="1" applyFill="1" applyBorder="1" applyAlignment="1">
      <alignment horizontal="center" vertical="center"/>
    </xf>
    <xf numFmtId="49" fontId="20" fillId="7" borderId="0" xfId="3" applyNumberFormat="1" applyFont="1" applyFill="1" applyAlignment="1">
      <alignment horizontal="center" vertical="center"/>
    </xf>
    <xf numFmtId="49" fontId="11" fillId="8" borderId="13" xfId="3" applyNumberFormat="1" applyFont="1" applyFill="1" applyBorder="1" applyAlignment="1">
      <alignment horizontal="left"/>
    </xf>
    <xf numFmtId="49" fontId="11" fillId="8" borderId="14" xfId="3" applyNumberFormat="1" applyFont="1" applyFill="1" applyBorder="1" applyAlignment="1">
      <alignment horizontal="left"/>
    </xf>
    <xf numFmtId="49" fontId="11" fillId="8" borderId="17" xfId="3" applyNumberFormat="1" applyFont="1" applyFill="1" applyBorder="1" applyAlignment="1">
      <alignment horizontal="left"/>
    </xf>
    <xf numFmtId="49" fontId="11" fillId="8" borderId="0" xfId="3" applyNumberFormat="1" applyFont="1" applyFill="1" applyAlignment="1">
      <alignment horizontal="left"/>
    </xf>
    <xf numFmtId="0" fontId="12" fillId="8" borderId="14" xfId="3" applyFont="1" applyFill="1" applyBorder="1" applyAlignment="1">
      <alignment horizontal="center" vertical="center"/>
    </xf>
    <xf numFmtId="0" fontId="12" fillId="8" borderId="15" xfId="3" applyFont="1" applyFill="1" applyBorder="1" applyAlignment="1">
      <alignment horizontal="center" vertical="center"/>
    </xf>
    <xf numFmtId="0" fontId="12" fillId="8" borderId="0" xfId="3" applyFont="1" applyFill="1" applyAlignment="1">
      <alignment horizontal="center" vertical="center"/>
    </xf>
    <xf numFmtId="0" fontId="12" fillId="8" borderId="18" xfId="3" applyFont="1" applyFill="1" applyBorder="1" applyAlignment="1">
      <alignment horizontal="center" vertical="center"/>
    </xf>
    <xf numFmtId="0" fontId="13" fillId="7" borderId="13" xfId="3" applyFont="1" applyFill="1" applyBorder="1" applyAlignment="1">
      <alignment horizontal="center" vertical="center" textRotation="90"/>
    </xf>
    <xf numFmtId="0" fontId="13" fillId="7" borderId="17" xfId="3" applyFont="1" applyFill="1" applyBorder="1" applyAlignment="1">
      <alignment horizontal="center" vertical="center" textRotation="90"/>
    </xf>
    <xf numFmtId="0" fontId="13" fillId="7" borderId="19" xfId="3" applyFont="1" applyFill="1" applyBorder="1" applyAlignment="1">
      <alignment horizontal="center" vertical="center" textRotation="90"/>
    </xf>
    <xf numFmtId="0" fontId="14" fillId="7" borderId="0" xfId="3" applyFont="1" applyFill="1" applyAlignment="1">
      <alignment vertical="distributed" textRotation="90"/>
    </xf>
    <xf numFmtId="49" fontId="11" fillId="7" borderId="19" xfId="3" applyNumberFormat="1" applyFont="1" applyFill="1" applyBorder="1" applyAlignment="1">
      <alignment horizontal="left"/>
    </xf>
    <xf numFmtId="49" fontId="9" fillId="7" borderId="20" xfId="3" applyNumberFormat="1" applyFill="1" applyBorder="1"/>
    <xf numFmtId="0" fontId="15" fillId="7" borderId="0" xfId="3" applyFont="1" applyFill="1" applyAlignment="1">
      <alignment horizontal="center" vertical="center"/>
    </xf>
    <xf numFmtId="0" fontId="11" fillId="8" borderId="23" xfId="3" applyFont="1" applyFill="1" applyBorder="1" applyAlignment="1">
      <alignment horizontal="left" vertical="top"/>
    </xf>
    <xf numFmtId="4" fontId="11" fillId="8" borderId="23" xfId="3" applyNumberFormat="1" applyFont="1" applyFill="1" applyBorder="1" applyAlignment="1">
      <alignment horizontal="right" vertical="top" indent="1"/>
    </xf>
    <xf numFmtId="0" fontId="11" fillId="8" borderId="23" xfId="3" applyFont="1" applyFill="1" applyBorder="1" applyAlignment="1">
      <alignment horizontal="right" vertical="top" indent="1"/>
    </xf>
    <xf numFmtId="4" fontId="11" fillId="7" borderId="19" xfId="3" applyNumberFormat="1" applyFont="1" applyFill="1" applyBorder="1" applyAlignment="1">
      <alignment horizontal="left" indent="1"/>
    </xf>
    <xf numFmtId="4" fontId="11" fillId="7" borderId="20" xfId="3" applyNumberFormat="1" applyFont="1" applyFill="1" applyBorder="1" applyAlignment="1">
      <alignment horizontal="left" indent="1"/>
    </xf>
    <xf numFmtId="0" fontId="11" fillId="7" borderId="20" xfId="3" applyFont="1" applyFill="1" applyBorder="1" applyAlignment="1">
      <alignment horizontal="left" vertical="center" indent="1"/>
    </xf>
    <xf numFmtId="0" fontId="19" fillId="8" borderId="15" xfId="3" applyFont="1" applyFill="1" applyBorder="1" applyAlignment="1">
      <alignment horizontal="left" vertical="center"/>
    </xf>
    <xf numFmtId="0" fontId="19" fillId="8" borderId="21" xfId="3" applyFont="1" applyFill="1" applyBorder="1" applyAlignment="1">
      <alignment horizontal="left" vertical="center"/>
    </xf>
    <xf numFmtId="0" fontId="11" fillId="8" borderId="25" xfId="3" applyFont="1" applyFill="1" applyBorder="1" applyAlignment="1">
      <alignment horizontal="center" vertical="top"/>
    </xf>
    <xf numFmtId="49" fontId="28" fillId="9" borderId="20" xfId="3" applyNumberFormat="1" applyFont="1" applyFill="1" applyBorder="1" applyAlignment="1">
      <alignment horizontal="center"/>
    </xf>
    <xf numFmtId="49" fontId="28" fillId="9" borderId="21" xfId="3" applyNumberFormat="1" applyFont="1" applyFill="1" applyBorder="1" applyAlignment="1">
      <alignment horizontal="center"/>
    </xf>
    <xf numFmtId="49" fontId="11" fillId="7" borderId="20" xfId="3" applyNumberFormat="1" applyFont="1" applyFill="1" applyBorder="1" applyAlignment="1">
      <alignment horizontal="center"/>
    </xf>
    <xf numFmtId="0" fontId="11" fillId="7" borderId="20" xfId="3" applyNumberFormat="1" applyFont="1" applyFill="1" applyBorder="1" applyAlignment="1">
      <alignment horizontal="center"/>
    </xf>
    <xf numFmtId="0" fontId="11" fillId="7" borderId="21" xfId="3" applyNumberFormat="1" applyFont="1" applyFill="1" applyBorder="1" applyAlignment="1">
      <alignment horizontal="center"/>
    </xf>
    <xf numFmtId="0" fontId="11" fillId="8" borderId="13" xfId="3" applyFont="1" applyFill="1" applyBorder="1" applyAlignment="1">
      <alignment horizontal="left"/>
    </xf>
    <xf numFmtId="0" fontId="11" fillId="8" borderId="14" xfId="3" applyFont="1" applyFill="1" applyBorder="1" applyAlignment="1">
      <alignment horizontal="left"/>
    </xf>
    <xf numFmtId="0" fontId="11" fillId="8" borderId="17" xfId="3" applyFont="1" applyFill="1" applyBorder="1" applyAlignment="1">
      <alignment horizontal="left"/>
    </xf>
    <xf numFmtId="0" fontId="11" fillId="8" borderId="0" xfId="3" applyFont="1" applyFill="1" applyAlignment="1">
      <alignment horizontal="left"/>
    </xf>
    <xf numFmtId="0" fontId="11" fillId="7" borderId="19" xfId="3" applyFont="1" applyFill="1" applyBorder="1" applyAlignment="1">
      <alignment horizontal="left"/>
    </xf>
    <xf numFmtId="0" fontId="9" fillId="7" borderId="20" xfId="3" applyFill="1" applyBorder="1"/>
    <xf numFmtId="49" fontId="11" fillId="8" borderId="13" xfId="3" applyNumberFormat="1" applyFont="1" applyFill="1" applyBorder="1" applyAlignment="1">
      <alignment horizontal="left" vertical="top"/>
    </xf>
    <xf numFmtId="49" fontId="11" fillId="8" borderId="14" xfId="3" applyNumberFormat="1" applyFont="1" applyFill="1" applyBorder="1" applyAlignment="1">
      <alignment horizontal="left" vertical="top"/>
    </xf>
    <xf numFmtId="49" fontId="11" fillId="8" borderId="15" xfId="3" applyNumberFormat="1" applyFont="1" applyFill="1" applyBorder="1" applyAlignment="1">
      <alignment horizontal="left" vertical="top"/>
    </xf>
    <xf numFmtId="0" fontId="5" fillId="0" borderId="1" xfId="0" applyFont="1" applyBorder="1" applyAlignment="1" applyProtection="1">
      <alignment horizontal="left" vertical="center"/>
    </xf>
    <xf numFmtId="0" fontId="5" fillId="0" borderId="2" xfId="0" applyFont="1" applyBorder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</cellXfs>
  <cellStyles count="5">
    <cellStyle name="Moeda" xfId="1" builtinId="4"/>
    <cellStyle name="Normal" xfId="0" builtinId="0"/>
    <cellStyle name="Normal 2" xfId="3" xr:uid="{77922FCB-3322-4FE0-8FD6-A837583A4E4D}"/>
    <cellStyle name="Porcentagem" xfId="2" builtinId="5"/>
    <cellStyle name="Porcentagem 2" xfId="4" xr:uid="{9126ABAB-B5A7-41C1-AAA4-916245E16841}"/>
  </cellStyles>
  <dxfs count="4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8" tint="0.39994506668294322"/>
      </font>
    </dxf>
    <dxf>
      <font>
        <color theme="8" tint="0.39994506668294322"/>
      </font>
    </dxf>
  </dxfs>
  <tableStyles count="0" defaultTableStyle="TableStyleMedium2" defaultPivotStyle="PivotStyleLight16"/>
  <colors>
    <mruColors>
      <color rgb="FFCCECFF"/>
      <color rgb="FFE4F2F4"/>
      <color rgb="FFE5F5FF"/>
      <color rgb="FFE7FFFF"/>
      <color rgb="FFCCFFFF"/>
      <color rgb="FFFF990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Previsto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noFill/>
              <a:ln w="25400">
                <a:solidFill>
                  <a:schemeClr val="accent1"/>
                </a:solidFill>
              </a:ln>
              <a:effectLst/>
            </c:spPr>
          </c:marker>
          <c:cat>
            <c:strRef>
              <c:f>'Previsto Realizado'!$C$12:$N$12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'Previsto Realizado'!$C$13:$N$13</c:f>
              <c:numCache>
                <c:formatCode>_-"R$"* #,##0.00_-;\-"R$"* #,##0.00_-;_-"R$"* "-"??_-;_-@_-</c:formatCode>
                <c:ptCount val="12"/>
                <c:pt idx="0">
                  <c:v>2357.1764204545452</c:v>
                </c:pt>
                <c:pt idx="1">
                  <c:v>1152.8863636363635</c:v>
                </c:pt>
                <c:pt idx="2">
                  <c:v>1922.1110795454547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8-49BC-9150-901159B3B3EA}"/>
            </c:ext>
          </c:extLst>
        </c:ser>
        <c:ser>
          <c:idx val="1"/>
          <c:order val="1"/>
          <c:tx>
            <c:v>Realizado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0"/>
            <c:spPr>
              <a:noFill/>
              <a:ln w="25400">
                <a:solidFill>
                  <a:schemeClr val="accent2"/>
                </a:solidFill>
              </a:ln>
              <a:effectLst/>
            </c:spPr>
          </c:marker>
          <c:cat>
            <c:strRef>
              <c:f>'Previsto Realizado'!$C$12:$N$12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'Previsto Realizado'!$C$14:$N$14</c:f>
              <c:numCache>
                <c:formatCode>_-"R$"* #,##0.00_-;\-"R$"* #,##0.00_-;_-"R$"* "-"??_-;_-@_-</c:formatCode>
                <c:ptCount val="12"/>
                <c:pt idx="0">
                  <c:v>6963.0414772727272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F8-49BC-9150-901159B3B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657472"/>
        <c:axId val="6056515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'Previsto Realizado'!$C$12:$N$12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'Previsto Realizado'!$B$13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FF8-49BC-9150-901159B3B3EA}"/>
                  </c:ext>
                </c:extLst>
              </c15:ser>
            </c15:filteredLineSeries>
            <c15:filteredLineSeries>
              <c15:ser>
                <c:idx val="3"/>
                <c:order val="3"/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'Previsto Realizado'!$C$12:$N$12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'Previsto Realizado'!$B$14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FF8-49BC-9150-901159B3B3EA}"/>
                  </c:ext>
                </c:extLst>
              </c15:ser>
            </c15:filteredLineSeries>
          </c:ext>
        </c:extLst>
      </c:lineChart>
      <c:catAx>
        <c:axId val="6056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5651568"/>
        <c:crosses val="autoZero"/>
        <c:auto val="1"/>
        <c:lblAlgn val="ctr"/>
        <c:lblOffset val="100"/>
        <c:noMultiLvlLbl val="0"/>
      </c:catAx>
      <c:valAx>
        <c:axId val="6056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56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[Folha_de_Pagamento.xlsm]Dash!Tabela dinâmica1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Salário</a:t>
            </a:r>
            <a:r>
              <a:rPr lang="en-US" baseline="0"/>
              <a:t> Líquido por Departamento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Dash!$C$83</c:f>
              <c:strCache>
                <c:ptCount val="1"/>
                <c:pt idx="0">
                  <c:v>Salário Líquido 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Dash!$B$84:$B$88</c:f>
              <c:strCache>
                <c:ptCount val="4"/>
                <c:pt idx="0">
                  <c:v>Administrativo</c:v>
                </c:pt>
                <c:pt idx="1">
                  <c:v>Almoxarifado</c:v>
                </c:pt>
                <c:pt idx="2">
                  <c:v>Produção</c:v>
                </c:pt>
                <c:pt idx="3">
                  <c:v>(vazio)</c:v>
                </c:pt>
              </c:strCache>
            </c:strRef>
          </c:cat>
          <c:val>
            <c:numRef>
              <c:f>Dash!$C$84:$C$88</c:f>
              <c:numCache>
                <c:formatCode>_-"R$"* #,##0.00_-;\-"R$"* #,##0.00_-;_-"R$"* "-"??_-;_-@_-</c:formatCode>
                <c:ptCount val="4"/>
                <c:pt idx="0">
                  <c:v>3257.55</c:v>
                </c:pt>
                <c:pt idx="1">
                  <c:v>1825.8238636363635</c:v>
                </c:pt>
                <c:pt idx="2">
                  <c:v>1127.6590909090908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6-48FB-B78D-2F35F71C99B0}"/>
            </c:ext>
          </c:extLst>
        </c:ser>
        <c:ser>
          <c:idx val="1"/>
          <c:order val="1"/>
          <c:tx>
            <c:strRef>
              <c:f>Dash!$D$83</c:f>
              <c:strCache>
                <c:ptCount val="1"/>
                <c:pt idx="0">
                  <c:v>Hora Extra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Dash!$B$84:$B$88</c:f>
              <c:strCache>
                <c:ptCount val="4"/>
                <c:pt idx="0">
                  <c:v>Administrativo</c:v>
                </c:pt>
                <c:pt idx="1">
                  <c:v>Almoxarifado</c:v>
                </c:pt>
                <c:pt idx="2">
                  <c:v>Produção</c:v>
                </c:pt>
                <c:pt idx="3">
                  <c:v>(vazio)</c:v>
                </c:pt>
              </c:strCache>
            </c:strRef>
          </c:cat>
          <c:val>
            <c:numRef>
              <c:f>Dash!$D$84:$D$88</c:f>
              <c:numCache>
                <c:formatCode>_-"R$"* #,##0.00_-;\-"R$"* #,##0.00_-;_-"R$"* "-"??_-;_-@_-</c:formatCode>
                <c:ptCount val="4"/>
                <c:pt idx="0">
                  <c:v>1380.681818181818</c:v>
                </c:pt>
                <c:pt idx="1">
                  <c:v>23.863636363636363</c:v>
                </c:pt>
                <c:pt idx="2">
                  <c:v>19.09090909090909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6-48FB-B78D-2F35F71C9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674808"/>
        <c:axId val="698682680"/>
      </c:barChart>
      <c:catAx>
        <c:axId val="698674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682680"/>
        <c:crosses val="autoZero"/>
        <c:auto val="1"/>
        <c:lblAlgn val="ctr"/>
        <c:lblOffset val="100"/>
        <c:noMultiLvlLbl val="0"/>
      </c:catAx>
      <c:valAx>
        <c:axId val="6986826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698674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[Folha_de_Pagamento.xlsm]Dash!Tabela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Salário Líquido por Colaborador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Dash!$G$83</c:f>
              <c:strCache>
                <c:ptCount val="1"/>
                <c:pt idx="0">
                  <c:v>Salário Líquido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Dash!$F$84:$F$88</c:f>
              <c:strCache>
                <c:ptCount val="4"/>
                <c:pt idx="0">
                  <c:v>João Alves</c:v>
                </c:pt>
                <c:pt idx="1">
                  <c:v>José da Silva</c:v>
                </c:pt>
                <c:pt idx="2">
                  <c:v>Paulo Vitor</c:v>
                </c:pt>
                <c:pt idx="3">
                  <c:v>(vazio)</c:v>
                </c:pt>
              </c:strCache>
            </c:strRef>
          </c:cat>
          <c:val>
            <c:numRef>
              <c:f>Dash!$G$84:$G$88</c:f>
              <c:numCache>
                <c:formatCode>_-"R$"* #,##0.00_-;\-"R$"* #,##0.00_-;_-"R$"* "-"??_-;_-@_-</c:formatCode>
                <c:ptCount val="4"/>
                <c:pt idx="0">
                  <c:v>1127.6590909090908</c:v>
                </c:pt>
                <c:pt idx="1">
                  <c:v>3257.55</c:v>
                </c:pt>
                <c:pt idx="2">
                  <c:v>1825.8238636363635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0-4DCF-AA09-FCE2ABFE44DB}"/>
            </c:ext>
          </c:extLst>
        </c:ser>
        <c:ser>
          <c:idx val="1"/>
          <c:order val="1"/>
          <c:tx>
            <c:strRef>
              <c:f>Dash!$H$83</c:f>
              <c:strCache>
                <c:ptCount val="1"/>
                <c:pt idx="0">
                  <c:v>Hora Extra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Dash!$F$84:$F$88</c:f>
              <c:strCache>
                <c:ptCount val="4"/>
                <c:pt idx="0">
                  <c:v>João Alves</c:v>
                </c:pt>
                <c:pt idx="1">
                  <c:v>José da Silva</c:v>
                </c:pt>
                <c:pt idx="2">
                  <c:v>Paulo Vitor</c:v>
                </c:pt>
                <c:pt idx="3">
                  <c:v>(vazio)</c:v>
                </c:pt>
              </c:strCache>
            </c:strRef>
          </c:cat>
          <c:val>
            <c:numRef>
              <c:f>Dash!$H$84:$H$88</c:f>
              <c:numCache>
                <c:formatCode>_-"R$"* #,##0.00_-;\-"R$"* #,##0.00_-;_-"R$"* "-"??_-;_-@_-</c:formatCode>
                <c:ptCount val="4"/>
                <c:pt idx="0">
                  <c:v>19.09090909090909</c:v>
                </c:pt>
                <c:pt idx="1">
                  <c:v>1380.681818181818</c:v>
                </c:pt>
                <c:pt idx="2">
                  <c:v>23.863636363636363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0-4DCF-AA09-FCE2ABFE4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682352"/>
        <c:axId val="698684320"/>
      </c:barChart>
      <c:catAx>
        <c:axId val="69868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684320"/>
        <c:crosses val="autoZero"/>
        <c:auto val="1"/>
        <c:lblAlgn val="ctr"/>
        <c:lblOffset val="100"/>
        <c:noMultiLvlLbl val="0"/>
      </c:catAx>
      <c:valAx>
        <c:axId val="698684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crossAx val="6986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Colab - Previsto'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olab - Realizado'!A1"/><Relationship Id="rId3" Type="http://schemas.openxmlformats.org/officeDocument/2006/relationships/hyperlink" Target="#'Colab - Previsto'!A1"/><Relationship Id="rId7" Type="http://schemas.openxmlformats.org/officeDocument/2006/relationships/hyperlink" Target="#'Previsto Realizado'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Dash!A1"/><Relationship Id="rId5" Type="http://schemas.openxmlformats.org/officeDocument/2006/relationships/hyperlink" Target="#Holerite!A1"/><Relationship Id="rId4" Type="http://schemas.openxmlformats.org/officeDocument/2006/relationships/hyperlink" Target="#CG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olab - Realizado'!A1"/><Relationship Id="rId3" Type="http://schemas.openxmlformats.org/officeDocument/2006/relationships/hyperlink" Target="#'Colab - Previsto'!A1"/><Relationship Id="rId7" Type="http://schemas.openxmlformats.org/officeDocument/2006/relationships/hyperlink" Target="#'Previsto Realizado'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Dash!A1"/><Relationship Id="rId5" Type="http://schemas.openxmlformats.org/officeDocument/2006/relationships/hyperlink" Target="#Holerite!A1"/><Relationship Id="rId4" Type="http://schemas.openxmlformats.org/officeDocument/2006/relationships/hyperlink" Target="#CG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Previsto Realizado'!A1"/><Relationship Id="rId3" Type="http://schemas.openxmlformats.org/officeDocument/2006/relationships/chart" Target="../charts/chart1.xml"/><Relationship Id="rId7" Type="http://schemas.openxmlformats.org/officeDocument/2006/relationships/hyperlink" Target="#Dash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Holerite!A1"/><Relationship Id="rId5" Type="http://schemas.openxmlformats.org/officeDocument/2006/relationships/hyperlink" Target="#CG!A1"/><Relationship Id="rId4" Type="http://schemas.openxmlformats.org/officeDocument/2006/relationships/hyperlink" Target="#'Colab - Previsto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lab - Previsto'!A1"/><Relationship Id="rId7" Type="http://schemas.openxmlformats.org/officeDocument/2006/relationships/hyperlink" Target="#'Previsto Realizado'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Dash!A1"/><Relationship Id="rId5" Type="http://schemas.openxmlformats.org/officeDocument/2006/relationships/hyperlink" Target="#Holerite!A1"/><Relationship Id="rId4" Type="http://schemas.openxmlformats.org/officeDocument/2006/relationships/hyperlink" Target="#CG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Dash!A1"/><Relationship Id="rId3" Type="http://schemas.openxmlformats.org/officeDocument/2006/relationships/chart" Target="../charts/chart2.xml"/><Relationship Id="rId7" Type="http://schemas.openxmlformats.org/officeDocument/2006/relationships/hyperlink" Target="#Holerite!A1"/><Relationship Id="rId2" Type="http://schemas.openxmlformats.org/officeDocument/2006/relationships/image" Target="../media/image1.png"/><Relationship Id="rId1" Type="http://schemas.openxmlformats.org/officeDocument/2006/relationships/hyperlink" Target="#Menu!A1"/><Relationship Id="rId6" Type="http://schemas.openxmlformats.org/officeDocument/2006/relationships/hyperlink" Target="#CG!A1"/><Relationship Id="rId5" Type="http://schemas.openxmlformats.org/officeDocument/2006/relationships/hyperlink" Target="#'Colab - Previsto'!A1"/><Relationship Id="rId4" Type="http://schemas.openxmlformats.org/officeDocument/2006/relationships/chart" Target="../charts/chart3.xml"/><Relationship Id="rId9" Type="http://schemas.openxmlformats.org/officeDocument/2006/relationships/hyperlink" Target="#'Previsto Realizad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hyperlink" Target="#Menu!A1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hyperlink" Target="#'Colab - Previsto'!A1"/><Relationship Id="rId10" Type="http://schemas.openxmlformats.org/officeDocument/2006/relationships/image" Target="../media/image11.png"/><Relationship Id="rId4" Type="http://schemas.openxmlformats.org/officeDocument/2006/relationships/image" Target="../media/image1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4518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02638DC-1D2C-4D70-9209-F3090CAE173E}"/>
            </a:ext>
          </a:extLst>
        </xdr:cNvPr>
        <xdr:cNvSpPr txBox="1"/>
      </xdr:nvSpPr>
      <xdr:spPr>
        <a:xfrm>
          <a:off x="2567940" y="0"/>
          <a:ext cx="34518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Folha de Pagamento</a:t>
          </a: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75E4FC4-73BE-4213-8913-6C15B9C7F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86A253-4262-4AAF-B68D-515480C67A72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9720000" cy="2377440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1B3FEE2-5CE5-4657-A083-75F09212D5AE}"/>
            </a:ext>
          </a:extLst>
        </xdr:cNvPr>
        <xdr:cNvSpPr txBox="1"/>
      </xdr:nvSpPr>
      <xdr:spPr>
        <a:xfrm>
          <a:off x="2491740" y="1295400"/>
          <a:ext cx="972000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Essa planilha possibilita que o empresário organize o processo da folha de pagamento do seu negócio, compilando e unificando as principais informações sobre os custos envolvidos. Ela permite que o empreendedor obtenha os cálculos de salários de maneira automática, levando em consideração as alíquotas definidas.</a:t>
          </a:r>
        </a:p>
        <a:p>
          <a:endParaRPr lang="pt-BR" sz="20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oneCell">
    <xdr:from>
      <xdr:col>0</xdr:col>
      <xdr:colOff>45720</xdr:colOff>
      <xdr:row>11</xdr:row>
      <xdr:rowOff>30480</xdr:rowOff>
    </xdr:from>
    <xdr:to>
      <xdr:col>4</xdr:col>
      <xdr:colOff>58176</xdr:colOff>
      <xdr:row>23</xdr:row>
      <xdr:rowOff>167639</xdr:rowOff>
    </xdr:to>
    <xdr:pic>
      <xdr:nvPicPr>
        <xdr:cNvPr id="11" name="Imagem 10" descr="Imagem relacionada">
          <a:extLst>
            <a:ext uri="{FF2B5EF4-FFF2-40B4-BE49-F238E27FC236}">
              <a16:creationId xmlns:a16="http://schemas.microsoft.com/office/drawing/2014/main" id="{5A844E38-CD9D-47DD-8A92-083965079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" y="133350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7B8F10D1-1AA1-47DF-A37C-589F77B3F177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67FBD533-52AE-4101-BD95-BAE7921EB8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6" name="Agrupar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4703A2-06FC-42CA-80AC-71A51D239CFB}"/>
            </a:ext>
          </a:extLst>
        </xdr:cNvPr>
        <xdr:cNvGrpSpPr/>
      </xdr:nvGrpSpPr>
      <xdr:grpSpPr>
        <a:xfrm>
          <a:off x="4247697" y="4456430"/>
          <a:ext cx="1692320" cy="477011"/>
          <a:chOff x="2685597" y="4343400"/>
          <a:chExt cx="1673270" cy="473201"/>
        </a:xfrm>
      </xdr:grpSpPr>
      <xdr:sp macro="" textlink="">
        <xdr:nvSpPr>
          <xdr:cNvPr id="21" name="CaixaDeTexto 2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CB0FBE3-423B-4735-9675-F0C3351CED15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ED738C14-6F44-462D-A49F-A9664A846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6</xdr:col>
      <xdr:colOff>327661</xdr:colOff>
      <xdr:row>30</xdr:row>
      <xdr:rowOff>35623</xdr:rowOff>
    </xdr:to>
    <xdr:grpSp>
      <xdr:nvGrpSpPr>
        <xdr:cNvPr id="4" name="Agrupar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A6A7864-82B4-4489-BBCB-F371B2321B4B}"/>
            </a:ext>
          </a:extLst>
        </xdr:cNvPr>
        <xdr:cNvGrpSpPr/>
      </xdr:nvGrpSpPr>
      <xdr:grpSpPr>
        <a:xfrm>
          <a:off x="2623820" y="4433570"/>
          <a:ext cx="1399541" cy="504253"/>
          <a:chOff x="2598420" y="4323778"/>
          <a:chExt cx="1386841" cy="500443"/>
        </a:xfrm>
      </xdr:grpSpPr>
      <xdr:pic>
        <xdr:nvPicPr>
          <xdr:cNvPr id="17" name="Imagem 16" descr="Play Red Button transparent PNG - StickPNG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27CA99D-E711-4541-BACC-74FBCDB152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98420" y="4323778"/>
            <a:ext cx="487680" cy="423208"/>
          </a:xfrm>
          <a:prstGeom prst="rect">
            <a:avLst/>
          </a:prstGeom>
          <a:solidFill>
            <a:srgbClr val="FFFFFF"/>
          </a:solidFill>
        </xdr:spPr>
      </xdr:pic>
      <xdr:sp macro="" textlink="">
        <xdr:nvSpPr>
          <xdr:cNvPr id="18" name="CaixaDeTexto 1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FA7ECBE-7CA4-4AF3-ABA3-1E1066239CDC}"/>
              </a:ext>
            </a:extLst>
          </xdr:cNvPr>
          <xdr:cNvSpPr txBox="1"/>
        </xdr:nvSpPr>
        <xdr:spPr>
          <a:xfrm>
            <a:off x="3063241" y="4450080"/>
            <a:ext cx="92202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INICIAR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0</xdr:rowOff>
    </xdr:from>
    <xdr:to>
      <xdr:col>10</xdr:col>
      <xdr:colOff>0</xdr:colOff>
      <xdr:row>3</xdr:row>
      <xdr:rowOff>12700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065BEB2-480C-4154-8A51-42B4E6EB1FBF}"/>
            </a:ext>
          </a:extLst>
        </xdr:cNvPr>
        <xdr:cNvSpPr txBox="1"/>
      </xdr:nvSpPr>
      <xdr:spPr>
        <a:xfrm>
          <a:off x="2357120" y="0"/>
          <a:ext cx="7836747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Folha de Pagamento</a:t>
          </a:r>
          <a:r>
            <a:rPr lang="pt-BR" sz="2400" b="1">
              <a:solidFill>
                <a:schemeClr val="accent2"/>
              </a:solidFill>
            </a:rPr>
            <a:t>| Cadastro Colaboradores - Previsto</a:t>
          </a:r>
        </a:p>
      </xdr:txBody>
    </xdr:sp>
    <xdr:clientData/>
  </xdr:twoCellAnchor>
  <xdr:twoCellAnchor>
    <xdr:from>
      <xdr:col>1</xdr:col>
      <xdr:colOff>205740</xdr:colOff>
      <xdr:row>0</xdr:row>
      <xdr:rowOff>0</xdr:rowOff>
    </xdr:from>
    <xdr:to>
      <xdr:col>3</xdr:col>
      <xdr:colOff>57314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BB8BB1-38A0-43BC-AA3F-0C52E87A6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F025D4-8305-46A3-ACC6-4A1E2B6FA319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1</xdr:col>
      <xdr:colOff>579120</xdr:colOff>
      <xdr:row>8</xdr:row>
      <xdr:rowOff>45718</xdr:rowOff>
    </xdr:from>
    <xdr:to>
      <xdr:col>2</xdr:col>
      <xdr:colOff>1428662</xdr:colOff>
      <xdr:row>8</xdr:row>
      <xdr:rowOff>348118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057FF6-9486-402B-893E-EF54D99AC8A8}"/>
            </a:ext>
          </a:extLst>
        </xdr:cNvPr>
        <xdr:cNvSpPr txBox="1"/>
      </xdr:nvSpPr>
      <xdr:spPr>
        <a:xfrm>
          <a:off x="706120" y="816185"/>
          <a:ext cx="1526875" cy="30240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050" b="0">
              <a:solidFill>
                <a:schemeClr val="bg1"/>
              </a:solidFill>
            </a:rPr>
            <a:t>Colab.</a:t>
          </a:r>
          <a:r>
            <a:rPr lang="pt-BR" sz="1100" b="0">
              <a:solidFill>
                <a:schemeClr val="bg1"/>
              </a:solidFill>
            </a:rPr>
            <a:t> Previsto</a:t>
          </a:r>
        </a:p>
      </xdr:txBody>
    </xdr:sp>
    <xdr:clientData fPrintsWithSheet="0"/>
  </xdr:twoCellAnchor>
  <xdr:twoCellAnchor>
    <xdr:from>
      <xdr:col>4</xdr:col>
      <xdr:colOff>163904</xdr:colOff>
      <xdr:row>8</xdr:row>
      <xdr:rowOff>45718</xdr:rowOff>
    </xdr:from>
    <xdr:to>
      <xdr:col>4</xdr:col>
      <xdr:colOff>1696598</xdr:colOff>
      <xdr:row>8</xdr:row>
      <xdr:rowOff>348118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BD30A7E-0C2D-43CD-82F7-B89CE89A87B9}"/>
            </a:ext>
          </a:extLst>
        </xdr:cNvPr>
        <xdr:cNvSpPr txBox="1"/>
      </xdr:nvSpPr>
      <xdr:spPr>
        <a:xfrm>
          <a:off x="3829971" y="816185"/>
          <a:ext cx="1532694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 fPrintsWithSheet="0"/>
  </xdr:twoCellAnchor>
  <xdr:twoCellAnchor>
    <xdr:from>
      <xdr:col>4</xdr:col>
      <xdr:colOff>1728739</xdr:colOff>
      <xdr:row>8</xdr:row>
      <xdr:rowOff>45718</xdr:rowOff>
    </xdr:from>
    <xdr:to>
      <xdr:col>5</xdr:col>
      <xdr:colOff>1483434</xdr:colOff>
      <xdr:row>8</xdr:row>
      <xdr:rowOff>348118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5B77D-687B-4D3B-848A-313BAFA308E9}"/>
            </a:ext>
          </a:extLst>
        </xdr:cNvPr>
        <xdr:cNvSpPr txBox="1"/>
      </xdr:nvSpPr>
      <xdr:spPr>
        <a:xfrm>
          <a:off x="5394806" y="816185"/>
          <a:ext cx="1532695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Holerite</a:t>
          </a:r>
        </a:p>
      </xdr:txBody>
    </xdr:sp>
    <xdr:clientData fPrintsWithSheet="0"/>
  </xdr:twoCellAnchor>
  <xdr:twoCellAnchor>
    <xdr:from>
      <xdr:col>5</xdr:col>
      <xdr:colOff>1515575</xdr:colOff>
      <xdr:row>8</xdr:row>
      <xdr:rowOff>45718</xdr:rowOff>
    </xdr:from>
    <xdr:to>
      <xdr:col>7</xdr:col>
      <xdr:colOff>445386</xdr:colOff>
      <xdr:row>8</xdr:row>
      <xdr:rowOff>348118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0EC87E7-9834-422E-97A6-547E3C594199}"/>
            </a:ext>
          </a:extLst>
        </xdr:cNvPr>
        <xdr:cNvSpPr txBox="1"/>
      </xdr:nvSpPr>
      <xdr:spPr>
        <a:xfrm>
          <a:off x="6959642" y="816185"/>
          <a:ext cx="1537544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  <xdr:twoCellAnchor>
    <xdr:from>
      <xdr:col>3</xdr:col>
      <xdr:colOff>29936</xdr:colOff>
      <xdr:row>8</xdr:row>
      <xdr:rowOff>45718</xdr:rowOff>
    </xdr:from>
    <xdr:to>
      <xdr:col>4</xdr:col>
      <xdr:colOff>131763</xdr:colOff>
      <xdr:row>8</xdr:row>
      <xdr:rowOff>348118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CAE5302-44E6-4335-BD3E-4AB4411E4829}"/>
            </a:ext>
          </a:extLst>
        </xdr:cNvPr>
        <xdr:cNvSpPr txBox="1"/>
      </xdr:nvSpPr>
      <xdr:spPr>
        <a:xfrm>
          <a:off x="2265136" y="816185"/>
          <a:ext cx="1532694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Previsto e Realizado</a:t>
          </a:r>
        </a:p>
      </xdr:txBody>
    </xdr:sp>
    <xdr:clientData fPrintsWithSheet="0"/>
  </xdr:twoCellAnchor>
  <xdr:twoCellAnchor>
    <xdr:from>
      <xdr:col>1</xdr:col>
      <xdr:colOff>579119</xdr:colOff>
      <xdr:row>9</xdr:row>
      <xdr:rowOff>20319</xdr:rowOff>
    </xdr:from>
    <xdr:to>
      <xdr:col>3</xdr:col>
      <xdr:colOff>5336</xdr:colOff>
      <xdr:row>10</xdr:row>
      <xdr:rowOff>9453</xdr:rowOff>
    </xdr:to>
    <xdr:sp macro="" textlink="">
      <xdr:nvSpPr>
        <xdr:cNvPr id="11" name="CaixaDeText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59A8B5F-4D7A-4609-81A6-D7801B7E6C52}"/>
            </a:ext>
          </a:extLst>
        </xdr:cNvPr>
        <xdr:cNvSpPr txBox="1"/>
      </xdr:nvSpPr>
      <xdr:spPr>
        <a:xfrm>
          <a:off x="706119" y="1171786"/>
          <a:ext cx="1534417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050" b="0">
              <a:solidFill>
                <a:schemeClr val="accent5">
                  <a:lumMod val="75000"/>
                </a:schemeClr>
              </a:solidFill>
            </a:rPr>
            <a:t>Colab. Realizado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0</xdr:row>
      <xdr:rowOff>0</xdr:rowOff>
    </xdr:from>
    <xdr:to>
      <xdr:col>11</xdr:col>
      <xdr:colOff>381000</xdr:colOff>
      <xdr:row>3</xdr:row>
      <xdr:rowOff>12700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5E00719-EA20-4E6D-8506-9940A457D2CE}"/>
            </a:ext>
          </a:extLst>
        </xdr:cNvPr>
        <xdr:cNvSpPr txBox="1"/>
      </xdr:nvSpPr>
      <xdr:spPr>
        <a:xfrm>
          <a:off x="2362200" y="0"/>
          <a:ext cx="8938260" cy="5613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Folha de Pagamento</a:t>
          </a:r>
          <a:r>
            <a:rPr lang="pt-BR" sz="2400" b="1">
              <a:solidFill>
                <a:schemeClr val="accent2"/>
              </a:solidFill>
            </a:rPr>
            <a:t>| Cadastro Colaboradores - Realizado</a:t>
          </a:r>
        </a:p>
      </xdr:txBody>
    </xdr:sp>
    <xdr:clientData/>
  </xdr:twoCellAnchor>
  <xdr:twoCellAnchor>
    <xdr:from>
      <xdr:col>1</xdr:col>
      <xdr:colOff>205740</xdr:colOff>
      <xdr:row>0</xdr:row>
      <xdr:rowOff>0</xdr:rowOff>
    </xdr:from>
    <xdr:to>
      <xdr:col>3</xdr:col>
      <xdr:colOff>57314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E2B5E4-E2A8-4B07-ADE6-BEC323921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" y="0"/>
          <a:ext cx="1962314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8</xdr:row>
      <xdr:rowOff>25401</xdr:rowOff>
    </xdr:from>
    <xdr:to>
      <xdr:col>1</xdr:col>
      <xdr:colOff>432000</xdr:colOff>
      <xdr:row>8</xdr:row>
      <xdr:rowOff>291801</xdr:rowOff>
    </xdr:to>
    <xdr:sp macro="" textlink="">
      <xdr:nvSpPr>
        <xdr:cNvPr id="11" name="Seta: para a Direita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D25597-A15D-43B0-94C0-493AAC416396}"/>
            </a:ext>
          </a:extLst>
        </xdr:cNvPr>
        <xdr:cNvSpPr/>
      </xdr:nvSpPr>
      <xdr:spPr>
        <a:xfrm flipH="1">
          <a:off x="127000" y="795868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1</xdr:col>
      <xdr:colOff>518160</xdr:colOff>
      <xdr:row>8</xdr:row>
      <xdr:rowOff>40639</xdr:rowOff>
    </xdr:from>
    <xdr:to>
      <xdr:col>2</xdr:col>
      <xdr:colOff>1367702</xdr:colOff>
      <xdr:row>8</xdr:row>
      <xdr:rowOff>343039</xdr:rowOff>
    </xdr:to>
    <xdr:sp macro="" textlink="">
      <xdr:nvSpPr>
        <xdr:cNvPr id="12" name="CaixaDeText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549E65A-B5BC-461F-BE5B-C88D532E9C19}"/>
            </a:ext>
          </a:extLst>
        </xdr:cNvPr>
        <xdr:cNvSpPr txBox="1"/>
      </xdr:nvSpPr>
      <xdr:spPr>
        <a:xfrm>
          <a:off x="645160" y="811106"/>
          <a:ext cx="1526875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Colab. Previsto</a:t>
          </a:r>
        </a:p>
      </xdr:txBody>
    </xdr:sp>
    <xdr:clientData fPrintsWithSheet="0"/>
  </xdr:twoCellAnchor>
  <xdr:twoCellAnchor>
    <xdr:from>
      <xdr:col>4</xdr:col>
      <xdr:colOff>102944</xdr:colOff>
      <xdr:row>8</xdr:row>
      <xdr:rowOff>40639</xdr:rowOff>
    </xdr:from>
    <xdr:to>
      <xdr:col>4</xdr:col>
      <xdr:colOff>1635638</xdr:colOff>
      <xdr:row>8</xdr:row>
      <xdr:rowOff>343039</xdr:rowOff>
    </xdr:to>
    <xdr:sp macro="" textlink="">
      <xdr:nvSpPr>
        <xdr:cNvPr id="13" name="CaixaDeText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4EF51C-4B63-4134-A9A3-DBF4153EBAF7}"/>
            </a:ext>
          </a:extLst>
        </xdr:cNvPr>
        <xdr:cNvSpPr txBox="1"/>
      </xdr:nvSpPr>
      <xdr:spPr>
        <a:xfrm>
          <a:off x="3769011" y="811106"/>
          <a:ext cx="1532694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 fPrintsWithSheet="0"/>
  </xdr:twoCellAnchor>
  <xdr:twoCellAnchor>
    <xdr:from>
      <xdr:col>4</xdr:col>
      <xdr:colOff>1667779</xdr:colOff>
      <xdr:row>8</xdr:row>
      <xdr:rowOff>40639</xdr:rowOff>
    </xdr:from>
    <xdr:to>
      <xdr:col>5</xdr:col>
      <xdr:colOff>1422474</xdr:colOff>
      <xdr:row>8</xdr:row>
      <xdr:rowOff>343039</xdr:rowOff>
    </xdr:to>
    <xdr:sp macro="" textlink="">
      <xdr:nvSpPr>
        <xdr:cNvPr id="14" name="CaixaDeText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7F4F4B0-6E76-40FE-9323-7EC3244894ED}"/>
            </a:ext>
          </a:extLst>
        </xdr:cNvPr>
        <xdr:cNvSpPr txBox="1"/>
      </xdr:nvSpPr>
      <xdr:spPr>
        <a:xfrm>
          <a:off x="5333846" y="811106"/>
          <a:ext cx="1532695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Holerite</a:t>
          </a:r>
        </a:p>
      </xdr:txBody>
    </xdr:sp>
    <xdr:clientData fPrintsWithSheet="0"/>
  </xdr:twoCellAnchor>
  <xdr:twoCellAnchor>
    <xdr:from>
      <xdr:col>5</xdr:col>
      <xdr:colOff>1454615</xdr:colOff>
      <xdr:row>8</xdr:row>
      <xdr:rowOff>40639</xdr:rowOff>
    </xdr:from>
    <xdr:to>
      <xdr:col>7</xdr:col>
      <xdr:colOff>384426</xdr:colOff>
      <xdr:row>8</xdr:row>
      <xdr:rowOff>343039</xdr:rowOff>
    </xdr:to>
    <xdr:sp macro="" textlink="">
      <xdr:nvSpPr>
        <xdr:cNvPr id="15" name="CaixaDeText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6674D37-EC45-4648-853B-0D46E75C2DA2}"/>
            </a:ext>
          </a:extLst>
        </xdr:cNvPr>
        <xdr:cNvSpPr txBox="1"/>
      </xdr:nvSpPr>
      <xdr:spPr>
        <a:xfrm>
          <a:off x="6898682" y="811106"/>
          <a:ext cx="1537544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  <xdr:twoCellAnchor>
    <xdr:from>
      <xdr:col>2</xdr:col>
      <xdr:colOff>1399843</xdr:colOff>
      <xdr:row>8</xdr:row>
      <xdr:rowOff>40639</xdr:rowOff>
    </xdr:from>
    <xdr:to>
      <xdr:col>4</xdr:col>
      <xdr:colOff>70803</xdr:colOff>
      <xdr:row>8</xdr:row>
      <xdr:rowOff>343039</xdr:rowOff>
    </xdr:to>
    <xdr:sp macro="" textlink="">
      <xdr:nvSpPr>
        <xdr:cNvPr id="16" name="CaixaDeTexto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4F54285-5655-4F2E-84DB-CBB8DF373839}"/>
            </a:ext>
          </a:extLst>
        </xdr:cNvPr>
        <xdr:cNvSpPr txBox="1"/>
      </xdr:nvSpPr>
      <xdr:spPr>
        <a:xfrm>
          <a:off x="2204176" y="811106"/>
          <a:ext cx="1532694" cy="3024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Previsto e Realizado</a:t>
          </a:r>
        </a:p>
      </xdr:txBody>
    </xdr:sp>
    <xdr:clientData fPrintsWithSheet="0"/>
  </xdr:twoCellAnchor>
  <xdr:twoCellAnchor>
    <xdr:from>
      <xdr:col>1</xdr:col>
      <xdr:colOff>518159</xdr:colOff>
      <xdr:row>9</xdr:row>
      <xdr:rowOff>15240</xdr:rowOff>
    </xdr:from>
    <xdr:to>
      <xdr:col>2</xdr:col>
      <xdr:colOff>1366792</xdr:colOff>
      <xdr:row>10</xdr:row>
      <xdr:rowOff>4374</xdr:rowOff>
    </xdr:to>
    <xdr:sp macro="" textlink="">
      <xdr:nvSpPr>
        <xdr:cNvPr id="18" name="CaixaDeTexto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FC5AC8-90A6-413C-B4DD-94F8A43B35E3}"/>
            </a:ext>
          </a:extLst>
        </xdr:cNvPr>
        <xdr:cNvSpPr txBox="1"/>
      </xdr:nvSpPr>
      <xdr:spPr>
        <a:xfrm>
          <a:off x="645159" y="1166707"/>
          <a:ext cx="1525966" cy="30240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050" b="0">
              <a:solidFill>
                <a:schemeClr val="bg1"/>
              </a:solidFill>
            </a:rPr>
            <a:t>Colab. Realizado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1081143</xdr:colOff>
      <xdr:row>0</xdr:row>
      <xdr:rowOff>0</xdr:rowOff>
    </xdr:from>
    <xdr:to>
      <xdr:col>10</xdr:col>
      <xdr:colOff>479612</xdr:colOff>
      <xdr:row>3</xdr:row>
      <xdr:rowOff>12700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3FAD303F-8C71-4945-B681-283F590AB0FD}"/>
            </a:ext>
          </a:extLst>
        </xdr:cNvPr>
        <xdr:cNvSpPr txBox="1"/>
      </xdr:nvSpPr>
      <xdr:spPr>
        <a:xfrm>
          <a:off x="2362200" y="0"/>
          <a:ext cx="8938260" cy="5613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Folha de Pagamento</a:t>
          </a:r>
          <a:r>
            <a:rPr lang="pt-BR" sz="2400" b="1">
              <a:solidFill>
                <a:schemeClr val="accent2"/>
              </a:solidFill>
            </a:rPr>
            <a:t>| Previsto x Realizado</a:t>
          </a:r>
        </a:p>
      </xdr:txBody>
    </xdr:sp>
    <xdr:clientData/>
  </xdr:twoCellAnchor>
  <xdr:twoCellAnchor editAs="absolute">
    <xdr:from>
      <xdr:col>1</xdr:col>
      <xdr:colOff>142987</xdr:colOff>
      <xdr:row>0</xdr:row>
      <xdr:rowOff>0</xdr:rowOff>
    </xdr:from>
    <xdr:to>
      <xdr:col>2</xdr:col>
      <xdr:colOff>1016537</xdr:colOff>
      <xdr:row>3</xdr:row>
      <xdr:rowOff>9360</xdr:rowOff>
    </xdr:to>
    <xdr:pic>
      <xdr:nvPicPr>
        <xdr:cNvPr id="10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5A4E42-3B93-4F6E-A115-C99CABFB9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" y="0"/>
          <a:ext cx="1962314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179294</xdr:colOff>
      <xdr:row>14</xdr:row>
      <xdr:rowOff>107574</xdr:rowOff>
    </xdr:from>
    <xdr:to>
      <xdr:col>13</xdr:col>
      <xdr:colOff>1183341</xdr:colOff>
      <xdr:row>45</xdr:row>
      <xdr:rowOff>44822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70ED4F4E-DF47-429F-80AC-6CA037622C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</xdr:row>
      <xdr:rowOff>26895</xdr:rowOff>
    </xdr:from>
    <xdr:to>
      <xdr:col>1</xdr:col>
      <xdr:colOff>432000</xdr:colOff>
      <xdr:row>8</xdr:row>
      <xdr:rowOff>293295</xdr:rowOff>
    </xdr:to>
    <xdr:sp macro="" textlink="">
      <xdr:nvSpPr>
        <xdr:cNvPr id="13" name="Seta: para a Direita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90354A-F505-4C55-9533-679090F075FD}"/>
            </a:ext>
          </a:extLst>
        </xdr:cNvPr>
        <xdr:cNvSpPr/>
      </xdr:nvSpPr>
      <xdr:spPr>
        <a:xfrm flipH="1">
          <a:off x="188259" y="77993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1</xdr:col>
      <xdr:colOff>518160</xdr:colOff>
      <xdr:row>8</xdr:row>
      <xdr:rowOff>42134</xdr:rowOff>
    </xdr:from>
    <xdr:to>
      <xdr:col>2</xdr:col>
      <xdr:colOff>951341</xdr:colOff>
      <xdr:row>8</xdr:row>
      <xdr:rowOff>343547</xdr:rowOff>
    </xdr:to>
    <xdr:sp macro="" textlink="">
      <xdr:nvSpPr>
        <xdr:cNvPr id="14" name="CaixaDeText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96757E6-D86F-4AF9-B504-BA7953837835}"/>
            </a:ext>
          </a:extLst>
        </xdr:cNvPr>
        <xdr:cNvSpPr txBox="1"/>
      </xdr:nvSpPr>
      <xdr:spPr>
        <a:xfrm>
          <a:off x="706419" y="795169"/>
          <a:ext cx="1526875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Colab. Previsto</a:t>
          </a:r>
        </a:p>
      </xdr:txBody>
    </xdr:sp>
    <xdr:clientData fPrintsWithSheet="0"/>
  </xdr:twoCellAnchor>
  <xdr:twoCellAnchor>
    <xdr:from>
      <xdr:col>4</xdr:col>
      <xdr:colOff>163705</xdr:colOff>
      <xdr:row>8</xdr:row>
      <xdr:rowOff>42134</xdr:rowOff>
    </xdr:from>
    <xdr:to>
      <xdr:col>5</xdr:col>
      <xdr:colOff>504093</xdr:colOff>
      <xdr:row>8</xdr:row>
      <xdr:rowOff>343547</xdr:rowOff>
    </xdr:to>
    <xdr:sp macro="" textlink="">
      <xdr:nvSpPr>
        <xdr:cNvPr id="15" name="CaixaDeText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AA4ABB-8151-4367-B3CA-BC389F56C379}"/>
            </a:ext>
          </a:extLst>
        </xdr:cNvPr>
        <xdr:cNvSpPr txBox="1"/>
      </xdr:nvSpPr>
      <xdr:spPr>
        <a:xfrm>
          <a:off x="3830270" y="795169"/>
          <a:ext cx="1532694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 fPrintsWithSheet="0"/>
  </xdr:twoCellAnchor>
  <xdr:twoCellAnchor>
    <xdr:from>
      <xdr:col>5</xdr:col>
      <xdr:colOff>536234</xdr:colOff>
      <xdr:row>8</xdr:row>
      <xdr:rowOff>42134</xdr:rowOff>
    </xdr:from>
    <xdr:to>
      <xdr:col>6</xdr:col>
      <xdr:colOff>876624</xdr:colOff>
      <xdr:row>8</xdr:row>
      <xdr:rowOff>343547</xdr:rowOff>
    </xdr:to>
    <xdr:sp macro="" textlink="">
      <xdr:nvSpPr>
        <xdr:cNvPr id="24" name="CaixaDeText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C769A2E-62C0-4B88-8A79-7AE28DE8D982}"/>
            </a:ext>
          </a:extLst>
        </xdr:cNvPr>
        <xdr:cNvSpPr txBox="1"/>
      </xdr:nvSpPr>
      <xdr:spPr>
        <a:xfrm>
          <a:off x="5395105" y="795169"/>
          <a:ext cx="1532695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Holerite</a:t>
          </a:r>
        </a:p>
      </xdr:txBody>
    </xdr:sp>
    <xdr:clientData fPrintsWithSheet="0"/>
  </xdr:twoCellAnchor>
  <xdr:twoCellAnchor>
    <xdr:from>
      <xdr:col>6</xdr:col>
      <xdr:colOff>908765</xdr:colOff>
      <xdr:row>8</xdr:row>
      <xdr:rowOff>42134</xdr:rowOff>
    </xdr:from>
    <xdr:to>
      <xdr:col>8</xdr:col>
      <xdr:colOff>61697</xdr:colOff>
      <xdr:row>8</xdr:row>
      <xdr:rowOff>343547</xdr:rowOff>
    </xdr:to>
    <xdr:sp macro="" textlink="">
      <xdr:nvSpPr>
        <xdr:cNvPr id="25" name="CaixaDeText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3E1D85B-63F7-4CA5-BDFD-1A79858D5311}"/>
            </a:ext>
          </a:extLst>
        </xdr:cNvPr>
        <xdr:cNvSpPr txBox="1"/>
      </xdr:nvSpPr>
      <xdr:spPr>
        <a:xfrm>
          <a:off x="6959941" y="795169"/>
          <a:ext cx="1537544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  <xdr:twoCellAnchor>
    <xdr:from>
      <xdr:col>2</xdr:col>
      <xdr:colOff>983482</xdr:colOff>
      <xdr:row>8</xdr:row>
      <xdr:rowOff>42134</xdr:rowOff>
    </xdr:from>
    <xdr:to>
      <xdr:col>4</xdr:col>
      <xdr:colOff>131564</xdr:colOff>
      <xdr:row>8</xdr:row>
      <xdr:rowOff>343547</xdr:rowOff>
    </xdr:to>
    <xdr:sp macro="" textlink="">
      <xdr:nvSpPr>
        <xdr:cNvPr id="26" name="CaixaDeText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1247C99-8FEF-4743-98C3-2E4766883B7D}"/>
            </a:ext>
          </a:extLst>
        </xdr:cNvPr>
        <xdr:cNvSpPr txBox="1"/>
      </xdr:nvSpPr>
      <xdr:spPr>
        <a:xfrm>
          <a:off x="2265435" y="795169"/>
          <a:ext cx="1532694" cy="301413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bg1"/>
              </a:solidFill>
            </a:rPr>
            <a:t>Previsto e Realizado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160020</xdr:colOff>
      <xdr:row>0</xdr:row>
      <xdr:rowOff>0</xdr:rowOff>
    </xdr:from>
    <xdr:ext cx="543306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9A94223-6EB8-4B4B-8DF2-C99BDD090D9F}"/>
            </a:ext>
          </a:extLst>
        </xdr:cNvPr>
        <xdr:cNvSpPr txBox="1"/>
      </xdr:nvSpPr>
      <xdr:spPr>
        <a:xfrm>
          <a:off x="2346960" y="0"/>
          <a:ext cx="543306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Folha de Pagamento </a:t>
          </a:r>
          <a:r>
            <a:rPr lang="pt-BR" sz="2400" b="1">
              <a:solidFill>
                <a:schemeClr val="accent2"/>
              </a:solidFill>
            </a:rPr>
            <a:t>| Cadastros Gerais</a:t>
          </a:r>
        </a:p>
      </xdr:txBody>
    </xdr:sp>
    <xdr:clientData/>
  </xdr:oneCellAnchor>
  <xdr:twoCellAnchor editAs="absolute">
    <xdr:from>
      <xdr:col>1</xdr:col>
      <xdr:colOff>205740</xdr:colOff>
      <xdr:row>0</xdr:row>
      <xdr:rowOff>0</xdr:rowOff>
    </xdr:from>
    <xdr:to>
      <xdr:col>4</xdr:col>
      <xdr:colOff>93721</xdr:colOff>
      <xdr:row>3</xdr:row>
      <xdr:rowOff>9360</xdr:rowOff>
    </xdr:to>
    <xdr:pic>
      <xdr:nvPicPr>
        <xdr:cNvPr id="14" name="Imagem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20960A-7DA0-4E59-98A7-A5A429094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8</xdr:row>
      <xdr:rowOff>22860</xdr:rowOff>
    </xdr:from>
    <xdr:to>
      <xdr:col>1</xdr:col>
      <xdr:colOff>432000</xdr:colOff>
      <xdr:row>8</xdr:row>
      <xdr:rowOff>289260</xdr:rowOff>
    </xdr:to>
    <xdr:sp macro="" textlink="">
      <xdr:nvSpPr>
        <xdr:cNvPr id="22" name="Seta: para a Direita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B81C6D-30F4-4C15-800B-A6579345FD3A}"/>
            </a:ext>
          </a:extLst>
        </xdr:cNvPr>
        <xdr:cNvSpPr/>
      </xdr:nvSpPr>
      <xdr:spPr>
        <a:xfrm flipH="1">
          <a:off x="12954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1</xdr:col>
      <xdr:colOff>518160</xdr:colOff>
      <xdr:row>8</xdr:row>
      <xdr:rowOff>38099</xdr:rowOff>
    </xdr:from>
    <xdr:to>
      <xdr:col>3</xdr:col>
      <xdr:colOff>162895</xdr:colOff>
      <xdr:row>8</xdr:row>
      <xdr:rowOff>339512</xdr:rowOff>
    </xdr:to>
    <xdr:sp macro="" textlink="">
      <xdr:nvSpPr>
        <xdr:cNvPr id="23" name="CaixaDeTexto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6E359EF-B568-4434-8340-728EE72F2EFC}"/>
            </a:ext>
          </a:extLst>
        </xdr:cNvPr>
        <xdr:cNvSpPr txBox="1"/>
      </xdr:nvSpPr>
      <xdr:spPr>
        <a:xfrm>
          <a:off x="647700" y="792479"/>
          <a:ext cx="1526875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Colaboradores Previsto</a:t>
          </a:r>
        </a:p>
      </xdr:txBody>
    </xdr:sp>
    <xdr:clientData fPrintsWithSheet="0"/>
  </xdr:twoCellAnchor>
  <xdr:twoCellAnchor>
    <xdr:from>
      <xdr:col>6</xdr:col>
      <xdr:colOff>373031</xdr:colOff>
      <xdr:row>8</xdr:row>
      <xdr:rowOff>38099</xdr:rowOff>
    </xdr:from>
    <xdr:to>
      <xdr:col>9</xdr:col>
      <xdr:colOff>69305</xdr:colOff>
      <xdr:row>8</xdr:row>
      <xdr:rowOff>339512</xdr:rowOff>
    </xdr:to>
    <xdr:sp macro="" textlink="">
      <xdr:nvSpPr>
        <xdr:cNvPr id="24" name="CaixaDeTexto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47ECA49-AAE2-481F-B118-86F0434775F5}"/>
            </a:ext>
          </a:extLst>
        </xdr:cNvPr>
        <xdr:cNvSpPr txBox="1"/>
      </xdr:nvSpPr>
      <xdr:spPr>
        <a:xfrm>
          <a:off x="3771551" y="792479"/>
          <a:ext cx="1532694" cy="301413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bg1"/>
              </a:solidFill>
            </a:rPr>
            <a:t>Cadastros Gerais</a:t>
          </a:r>
        </a:p>
      </xdr:txBody>
    </xdr:sp>
    <xdr:clientData fPrintsWithSheet="0"/>
  </xdr:twoCellAnchor>
  <xdr:twoCellAnchor>
    <xdr:from>
      <xdr:col>9</xdr:col>
      <xdr:colOff>101446</xdr:colOff>
      <xdr:row>8</xdr:row>
      <xdr:rowOff>38099</xdr:rowOff>
    </xdr:from>
    <xdr:to>
      <xdr:col>11</xdr:col>
      <xdr:colOff>674021</xdr:colOff>
      <xdr:row>8</xdr:row>
      <xdr:rowOff>339512</xdr:rowOff>
    </xdr:to>
    <xdr:sp macro="" textlink="">
      <xdr:nvSpPr>
        <xdr:cNvPr id="25" name="CaixaDeTexto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BAC974-B9B6-437E-9172-E0BD61E4A7A1}"/>
            </a:ext>
          </a:extLst>
        </xdr:cNvPr>
        <xdr:cNvSpPr txBox="1"/>
      </xdr:nvSpPr>
      <xdr:spPr>
        <a:xfrm>
          <a:off x="5336386" y="792479"/>
          <a:ext cx="1532695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Holerite</a:t>
          </a:r>
        </a:p>
      </xdr:txBody>
    </xdr:sp>
    <xdr:clientData fPrintsWithSheet="0"/>
  </xdr:twoCellAnchor>
  <xdr:twoCellAnchor>
    <xdr:from>
      <xdr:col>11</xdr:col>
      <xdr:colOff>706162</xdr:colOff>
      <xdr:row>8</xdr:row>
      <xdr:rowOff>38099</xdr:rowOff>
    </xdr:from>
    <xdr:to>
      <xdr:col>12</xdr:col>
      <xdr:colOff>529206</xdr:colOff>
      <xdr:row>8</xdr:row>
      <xdr:rowOff>339512</xdr:rowOff>
    </xdr:to>
    <xdr:sp macro="" textlink="">
      <xdr:nvSpPr>
        <xdr:cNvPr id="26" name="CaixaDeTexto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7A299A-A7C0-4C65-AD70-B4AE45D101B3}"/>
            </a:ext>
          </a:extLst>
        </xdr:cNvPr>
        <xdr:cNvSpPr txBox="1"/>
      </xdr:nvSpPr>
      <xdr:spPr>
        <a:xfrm>
          <a:off x="6901222" y="792479"/>
          <a:ext cx="1537544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</a:t>
          </a:r>
        </a:p>
      </xdr:txBody>
    </xdr:sp>
    <xdr:clientData fPrintsWithSheet="0"/>
  </xdr:twoCellAnchor>
  <xdr:twoCellAnchor>
    <xdr:from>
      <xdr:col>3</xdr:col>
      <xdr:colOff>195036</xdr:colOff>
      <xdr:row>8</xdr:row>
      <xdr:rowOff>38099</xdr:rowOff>
    </xdr:from>
    <xdr:to>
      <xdr:col>6</xdr:col>
      <xdr:colOff>340890</xdr:colOff>
      <xdr:row>8</xdr:row>
      <xdr:rowOff>339512</xdr:rowOff>
    </xdr:to>
    <xdr:sp macro="" textlink="">
      <xdr:nvSpPr>
        <xdr:cNvPr id="27" name="CaixaDeTexto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75A258B-6F1A-40E9-AC08-9D7D59E1C573}"/>
            </a:ext>
          </a:extLst>
        </xdr:cNvPr>
        <xdr:cNvSpPr txBox="1"/>
      </xdr:nvSpPr>
      <xdr:spPr>
        <a:xfrm>
          <a:off x="2206716" y="792479"/>
          <a:ext cx="1532694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Previsto e Realizado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33</xdr:row>
      <xdr:rowOff>44449</xdr:rowOff>
    </xdr:from>
    <xdr:to>
      <xdr:col>9</xdr:col>
      <xdr:colOff>273050</xdr:colOff>
      <xdr:row>34</xdr:row>
      <xdr:rowOff>92074</xdr:rowOff>
    </xdr:to>
    <xdr:sp macro="" textlink="">
      <xdr:nvSpPr>
        <xdr:cNvPr id="2" name="Seta para a direita 1">
          <a:extLst>
            <a:ext uri="{FF2B5EF4-FFF2-40B4-BE49-F238E27FC236}">
              <a16:creationId xmlns:a16="http://schemas.microsoft.com/office/drawing/2014/main" id="{A971833D-47EF-452C-B6AE-57D7699779DD}"/>
            </a:ext>
          </a:extLst>
        </xdr:cNvPr>
        <xdr:cNvSpPr/>
      </xdr:nvSpPr>
      <xdr:spPr>
        <a:xfrm>
          <a:off x="6557010" y="4090669"/>
          <a:ext cx="299720" cy="161925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314325</xdr:colOff>
      <xdr:row>74</xdr:row>
      <xdr:rowOff>76200</xdr:rowOff>
    </xdr:from>
    <xdr:to>
      <xdr:col>9</xdr:col>
      <xdr:colOff>263525</xdr:colOff>
      <xdr:row>75</xdr:row>
      <xdr:rowOff>76200</xdr:rowOff>
    </xdr:to>
    <xdr:sp macro="" textlink="">
      <xdr:nvSpPr>
        <xdr:cNvPr id="3" name="Seta para a direita 8">
          <a:extLst>
            <a:ext uri="{FF2B5EF4-FFF2-40B4-BE49-F238E27FC236}">
              <a16:creationId xmlns:a16="http://schemas.microsoft.com/office/drawing/2014/main" id="{1E5D3E6F-321A-4FB9-B140-B291F50DB413}"/>
            </a:ext>
          </a:extLst>
        </xdr:cNvPr>
        <xdr:cNvSpPr/>
      </xdr:nvSpPr>
      <xdr:spPr>
        <a:xfrm>
          <a:off x="6547485" y="9921240"/>
          <a:ext cx="299720" cy="167640"/>
        </a:xfrm>
        <a:prstGeom prst="rightArrow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106680</xdr:colOff>
      <xdr:row>0</xdr:row>
      <xdr:rowOff>53340</xdr:rowOff>
    </xdr:from>
    <xdr:to>
      <xdr:col>0</xdr:col>
      <xdr:colOff>538680</xdr:colOff>
      <xdr:row>2</xdr:row>
      <xdr:rowOff>37800</xdr:rowOff>
    </xdr:to>
    <xdr:sp macro="" textlink="">
      <xdr:nvSpPr>
        <xdr:cNvPr id="4" name="Seta: para a Direita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591043-2074-4440-A24B-AE95FFD27060}"/>
            </a:ext>
          </a:extLst>
        </xdr:cNvPr>
        <xdr:cNvSpPr/>
      </xdr:nvSpPr>
      <xdr:spPr>
        <a:xfrm flipH="1">
          <a:off x="106680" y="533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0</xdr:col>
      <xdr:colOff>121920</xdr:colOff>
      <xdr:row>2</xdr:row>
      <xdr:rowOff>152400</xdr:rowOff>
    </xdr:from>
    <xdr:to>
      <xdr:col>0</xdr:col>
      <xdr:colOff>1453920</xdr:colOff>
      <xdr:row>4</xdr:row>
      <xdr:rowOff>127400</xdr:rowOff>
    </xdr:to>
    <xdr:sp macro="[0]!Imprimir" textlink="">
      <xdr:nvSpPr>
        <xdr:cNvPr id="5" name="CaixaDeTexto 4">
          <a:extLst>
            <a:ext uri="{FF2B5EF4-FFF2-40B4-BE49-F238E27FC236}">
              <a16:creationId xmlns:a16="http://schemas.microsoft.com/office/drawing/2014/main" id="{D11F0E29-DA89-43A0-9C66-EAEBC67620AB}"/>
            </a:ext>
          </a:extLst>
        </xdr:cNvPr>
        <xdr:cNvSpPr txBox="1"/>
      </xdr:nvSpPr>
      <xdr:spPr>
        <a:xfrm>
          <a:off x="121920" y="43434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1043940</xdr:colOff>
      <xdr:row>0</xdr:row>
      <xdr:rowOff>0</xdr:rowOff>
    </xdr:from>
    <xdr:ext cx="481584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955108C-9FBB-4586-AB8E-D9D0751601E6}"/>
            </a:ext>
          </a:extLst>
        </xdr:cNvPr>
        <xdr:cNvSpPr txBox="1"/>
      </xdr:nvSpPr>
      <xdr:spPr>
        <a:xfrm>
          <a:off x="2491740" y="0"/>
          <a:ext cx="481584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Folha de Pagamento </a:t>
          </a:r>
          <a:r>
            <a:rPr lang="pt-BR" sz="2400" b="1">
              <a:solidFill>
                <a:schemeClr val="accent2"/>
              </a:solidFill>
            </a:rPr>
            <a:t>| Relatório</a:t>
          </a:r>
        </a:p>
      </xdr:txBody>
    </xdr:sp>
    <xdr:clientData/>
  </xdr:oneCellAnchor>
  <xdr:twoCellAnchor editAs="absolute">
    <xdr:from>
      <xdr:col>1</xdr:col>
      <xdr:colOff>152401</xdr:colOff>
      <xdr:row>0</xdr:row>
      <xdr:rowOff>0</xdr:rowOff>
    </xdr:from>
    <xdr:to>
      <xdr:col>2</xdr:col>
      <xdr:colOff>771902</xdr:colOff>
      <xdr:row>3</xdr:row>
      <xdr:rowOff>9360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CB2BD-D4FA-452E-B749-0C9076251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1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12</xdr:col>
      <xdr:colOff>176104</xdr:colOff>
      <xdr:row>8</xdr:row>
      <xdr:rowOff>60306</xdr:rowOff>
    </xdr:from>
    <xdr:to>
      <xdr:col>14</xdr:col>
      <xdr:colOff>288904</xdr:colOff>
      <xdr:row>8</xdr:row>
      <xdr:rowOff>324866</xdr:rowOff>
    </xdr:to>
    <xdr:sp macro="[0]!Imprimir" textlink="">
      <xdr:nvSpPr>
        <xdr:cNvPr id="17" name="CaixaDeTexto 16">
          <a:extLst>
            <a:ext uri="{FF2B5EF4-FFF2-40B4-BE49-F238E27FC236}">
              <a16:creationId xmlns:a16="http://schemas.microsoft.com/office/drawing/2014/main" id="{9143592B-5AD3-43D9-A127-85465B742818}"/>
            </a:ext>
          </a:extLst>
        </xdr:cNvPr>
        <xdr:cNvSpPr txBox="1"/>
      </xdr:nvSpPr>
      <xdr:spPr>
        <a:xfrm>
          <a:off x="9248667" y="834212"/>
          <a:ext cx="1303425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>
    <xdr:from>
      <xdr:col>3</xdr:col>
      <xdr:colOff>76200</xdr:colOff>
      <xdr:row>13</xdr:row>
      <xdr:rowOff>0</xdr:rowOff>
    </xdr:from>
    <xdr:to>
      <xdr:col>21</xdr:col>
      <xdr:colOff>7620</xdr:colOff>
      <xdr:row>20</xdr:row>
      <xdr:rowOff>15240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2426F68-A80A-4118-8687-1774E757A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3810</xdr:colOff>
      <xdr:row>20</xdr:row>
      <xdr:rowOff>80010</xdr:rowOff>
    </xdr:from>
    <xdr:to>
      <xdr:col>21</xdr:col>
      <xdr:colOff>15240</xdr:colOff>
      <xdr:row>32</xdr:row>
      <xdr:rowOff>22860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9FB27B6-1477-49C7-97C7-ECF571149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</xdr:row>
      <xdr:rowOff>25401</xdr:rowOff>
    </xdr:from>
    <xdr:to>
      <xdr:col>1</xdr:col>
      <xdr:colOff>432000</xdr:colOff>
      <xdr:row>8</xdr:row>
      <xdr:rowOff>291801</xdr:rowOff>
    </xdr:to>
    <xdr:sp macro="" textlink="">
      <xdr:nvSpPr>
        <xdr:cNvPr id="24" name="Seta: para a Direita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A29F48-131B-4C7B-A8C3-7032C6527BB8}"/>
            </a:ext>
          </a:extLst>
        </xdr:cNvPr>
        <xdr:cNvSpPr/>
      </xdr:nvSpPr>
      <xdr:spPr>
        <a:xfrm flipH="1">
          <a:off x="194733" y="795868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>
    <xdr:from>
      <xdr:col>1</xdr:col>
      <xdr:colOff>518160</xdr:colOff>
      <xdr:row>8</xdr:row>
      <xdr:rowOff>42373</xdr:rowOff>
    </xdr:from>
    <xdr:to>
      <xdr:col>2</xdr:col>
      <xdr:colOff>783501</xdr:colOff>
      <xdr:row>8</xdr:row>
      <xdr:rowOff>343786</xdr:rowOff>
    </xdr:to>
    <xdr:sp macro="" textlink="">
      <xdr:nvSpPr>
        <xdr:cNvPr id="25" name="CaixaDeTexto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2B4E8B-63DA-4272-8A84-12D65545B818}"/>
            </a:ext>
          </a:extLst>
        </xdr:cNvPr>
        <xdr:cNvSpPr txBox="1"/>
      </xdr:nvSpPr>
      <xdr:spPr>
        <a:xfrm>
          <a:off x="712893" y="812840"/>
          <a:ext cx="1526875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Colaboradores Previsto</a:t>
          </a:r>
        </a:p>
      </xdr:txBody>
    </xdr:sp>
    <xdr:clientData fPrintsWithSheet="0"/>
  </xdr:twoCellAnchor>
  <xdr:twoCellAnchor>
    <xdr:from>
      <xdr:col>4</xdr:col>
      <xdr:colOff>343407</xdr:colOff>
      <xdr:row>8</xdr:row>
      <xdr:rowOff>42373</xdr:rowOff>
    </xdr:from>
    <xdr:to>
      <xdr:col>7</xdr:col>
      <xdr:colOff>47301</xdr:colOff>
      <xdr:row>8</xdr:row>
      <xdr:rowOff>343786</xdr:rowOff>
    </xdr:to>
    <xdr:sp macro="" textlink="">
      <xdr:nvSpPr>
        <xdr:cNvPr id="26" name="CaixaDeTexto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B9B509-ED9D-435D-8C03-CBE43E21A2A0}"/>
            </a:ext>
          </a:extLst>
        </xdr:cNvPr>
        <xdr:cNvSpPr txBox="1"/>
      </xdr:nvSpPr>
      <xdr:spPr>
        <a:xfrm>
          <a:off x="4085674" y="812840"/>
          <a:ext cx="1896760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 Gerais</a:t>
          </a:r>
        </a:p>
      </xdr:txBody>
    </xdr:sp>
    <xdr:clientData fPrintsWithSheet="0"/>
  </xdr:twoCellAnchor>
  <xdr:twoCellAnchor>
    <xdr:from>
      <xdr:col>7</xdr:col>
      <xdr:colOff>81140</xdr:colOff>
      <xdr:row>8</xdr:row>
      <xdr:rowOff>42373</xdr:rowOff>
    </xdr:from>
    <xdr:to>
      <xdr:col>9</xdr:col>
      <xdr:colOff>394635</xdr:colOff>
      <xdr:row>8</xdr:row>
      <xdr:rowOff>343786</xdr:rowOff>
    </xdr:to>
    <xdr:sp macro="" textlink="">
      <xdr:nvSpPr>
        <xdr:cNvPr id="27" name="CaixaDeTexto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042F768-C904-4B94-94A8-1B413FD2DC7B}"/>
            </a:ext>
          </a:extLst>
        </xdr:cNvPr>
        <xdr:cNvSpPr txBox="1"/>
      </xdr:nvSpPr>
      <xdr:spPr>
        <a:xfrm>
          <a:off x="6016273" y="812840"/>
          <a:ext cx="1778229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Holerite</a:t>
          </a:r>
        </a:p>
      </xdr:txBody>
    </xdr:sp>
    <xdr:clientData fPrintsWithSheet="0"/>
  </xdr:twoCellAnchor>
  <xdr:twoCellAnchor>
    <xdr:from>
      <xdr:col>9</xdr:col>
      <xdr:colOff>428474</xdr:colOff>
      <xdr:row>8</xdr:row>
      <xdr:rowOff>42372</xdr:rowOff>
    </xdr:from>
    <xdr:to>
      <xdr:col>12</xdr:col>
      <xdr:colOff>137218</xdr:colOff>
      <xdr:row>8</xdr:row>
      <xdr:rowOff>344772</xdr:rowOff>
    </xdr:to>
    <xdr:sp macro="" textlink="">
      <xdr:nvSpPr>
        <xdr:cNvPr id="28" name="CaixaDeTexto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72285BA-633F-418E-9733-A8061161E8C5}"/>
            </a:ext>
          </a:extLst>
        </xdr:cNvPr>
        <xdr:cNvSpPr txBox="1"/>
      </xdr:nvSpPr>
      <xdr:spPr>
        <a:xfrm>
          <a:off x="7913007" y="812839"/>
          <a:ext cx="1537544" cy="302400"/>
        </a:xfrm>
        <a:prstGeom prst="rect">
          <a:avLst/>
        </a:prstGeom>
        <a:solidFill>
          <a:schemeClr val="accent5">
            <a:lumMod val="75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bg1"/>
              </a:solidFill>
            </a:rPr>
            <a:t>Relatório</a:t>
          </a:r>
        </a:p>
      </xdr:txBody>
    </xdr:sp>
    <xdr:clientData fPrintsWithSheet="0"/>
  </xdr:twoCellAnchor>
  <xdr:twoCellAnchor>
    <xdr:from>
      <xdr:col>2</xdr:col>
      <xdr:colOff>817340</xdr:colOff>
      <xdr:row>8</xdr:row>
      <xdr:rowOff>42373</xdr:rowOff>
    </xdr:from>
    <xdr:to>
      <xdr:col>4</xdr:col>
      <xdr:colOff>309568</xdr:colOff>
      <xdr:row>8</xdr:row>
      <xdr:rowOff>343786</xdr:rowOff>
    </xdr:to>
    <xdr:sp macro="" textlink="">
      <xdr:nvSpPr>
        <xdr:cNvPr id="29" name="CaixaDeTexto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0ECD5A8-96BD-4687-9B9D-22A6354DAA54}"/>
            </a:ext>
          </a:extLst>
        </xdr:cNvPr>
        <xdr:cNvSpPr txBox="1"/>
      </xdr:nvSpPr>
      <xdr:spPr>
        <a:xfrm>
          <a:off x="2273607" y="812840"/>
          <a:ext cx="1778228" cy="30141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Previsto e Realizado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860611</xdr:colOff>
      <xdr:row>76</xdr:row>
      <xdr:rowOff>53789</xdr:rowOff>
    </xdr:from>
    <xdr:to>
      <xdr:col>5</xdr:col>
      <xdr:colOff>1214717</xdr:colOff>
      <xdr:row>97</xdr:row>
      <xdr:rowOff>167641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813C3816-2AB7-4E62-B381-1174DC8FE9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6117" y="13375342"/>
          <a:ext cx="7319682" cy="3879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1066800</xdr:colOff>
      <xdr:row>12</xdr:row>
      <xdr:rowOff>83820</xdr:rowOff>
    </xdr:from>
    <xdr:to>
      <xdr:col>7</xdr:col>
      <xdr:colOff>1028700</xdr:colOff>
      <xdr:row>19</xdr:row>
      <xdr:rowOff>76200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71E21C57-C048-4A3F-A0FA-E3360B063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6340" y="1828800"/>
          <a:ext cx="8282940" cy="12725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916569-C4FF-4B2F-90FE-CE3EDFB441FB}"/>
            </a:ext>
          </a:extLst>
        </xdr:cNvPr>
        <xdr:cNvSpPr txBox="1"/>
      </xdr:nvSpPr>
      <xdr:spPr>
        <a:xfrm>
          <a:off x="257556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Folha de Pagamento </a:t>
          </a:r>
          <a:r>
            <a:rPr lang="pt-BR" sz="2400" b="1">
              <a:solidFill>
                <a:schemeClr val="accent2"/>
              </a:solidFill>
            </a:rPr>
            <a:t>| Instruções</a:t>
          </a: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3" name="Imagem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16F75C-6C31-482E-9925-45395B983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8" name="CaixaDeText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33234D-C738-46E0-A85C-AE7A3533696E}"/>
            </a:ext>
          </a:extLst>
        </xdr:cNvPr>
        <xdr:cNvSpPr txBox="1"/>
      </xdr:nvSpPr>
      <xdr:spPr>
        <a:xfrm>
          <a:off x="76200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463556B-BB46-4FC0-99C6-C5937773DC41}"/>
            </a:ext>
          </a:extLst>
        </xdr:cNvPr>
        <xdr:cNvSpPr txBox="1"/>
      </xdr:nvSpPr>
      <xdr:spPr>
        <a:xfrm>
          <a:off x="1051560" y="762000"/>
          <a:ext cx="1023366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46" name="Seta: para a Direita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35BCC8A-0408-4214-B47B-06A292214DC4}"/>
            </a:ext>
          </a:extLst>
        </xdr:cNvPr>
        <xdr:cNvSpPr/>
      </xdr:nvSpPr>
      <xdr:spPr>
        <a:xfrm flipH="1">
          <a:off x="18288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548640</xdr:colOff>
      <xdr:row>15</xdr:row>
      <xdr:rowOff>125058</xdr:rowOff>
    </xdr:from>
    <xdr:to>
      <xdr:col>1</xdr:col>
      <xdr:colOff>1158240</xdr:colOff>
      <xdr:row>16</xdr:row>
      <xdr:rowOff>128644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FD2425FE-B10D-49F1-A904-5C96F115AA06}"/>
            </a:ext>
          </a:extLst>
        </xdr:cNvPr>
        <xdr:cNvCxnSpPr>
          <a:stCxn id="51" idx="2"/>
        </xdr:cNvCxnSpPr>
      </xdr:nvCxnSpPr>
      <xdr:spPr>
        <a:xfrm>
          <a:off x="674146" y="2402093"/>
          <a:ext cx="609600" cy="1828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1097280</xdr:colOff>
      <xdr:row>15</xdr:row>
      <xdr:rowOff>125058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6467C016-D578-4B36-A73B-897B3B467261}"/>
            </a:ext>
          </a:extLst>
        </xdr:cNvPr>
        <xdr:cNvSpPr/>
      </xdr:nvSpPr>
      <xdr:spPr>
        <a:xfrm>
          <a:off x="125506" y="1739153"/>
          <a:ext cx="1097280" cy="6629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1606925</xdr:colOff>
      <xdr:row>27</xdr:row>
      <xdr:rowOff>79338</xdr:rowOff>
    </xdr:from>
    <xdr:to>
      <xdr:col>5</xdr:col>
      <xdr:colOff>753288</xdr:colOff>
      <xdr:row>31</xdr:row>
      <xdr:rowOff>15240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97CC6C91-F86B-4F0B-8C79-0E01F579BB55}"/>
            </a:ext>
          </a:extLst>
        </xdr:cNvPr>
        <xdr:cNvSpPr/>
      </xdr:nvSpPr>
      <xdr:spPr>
        <a:xfrm>
          <a:off x="5896985" y="4567518"/>
          <a:ext cx="1950523" cy="66742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dados do seu colaborador</a:t>
          </a:r>
          <a:r>
            <a:rPr lang="pt-BR" sz="1100" baseline="0">
              <a:solidFill>
                <a:schemeClr val="accent2"/>
              </a:solidFill>
            </a:rPr>
            <a:t> para fazer uma previsão dos gastos.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2582187</xdr:colOff>
      <xdr:row>26</xdr:row>
      <xdr:rowOff>114300</xdr:rowOff>
    </xdr:from>
    <xdr:to>
      <xdr:col>4</xdr:col>
      <xdr:colOff>2583180</xdr:colOff>
      <xdr:row>27</xdr:row>
      <xdr:rowOff>79338</xdr:rowOff>
    </xdr:to>
    <xdr:cxnSp macro="">
      <xdr:nvCxnSpPr>
        <xdr:cNvPr id="54" name="Conector de Seta Reta 53">
          <a:extLst>
            <a:ext uri="{FF2B5EF4-FFF2-40B4-BE49-F238E27FC236}">
              <a16:creationId xmlns:a16="http://schemas.microsoft.com/office/drawing/2014/main" id="{D3F1D69A-F12F-4309-BAB7-C1253D118C29}"/>
            </a:ext>
          </a:extLst>
        </xdr:cNvPr>
        <xdr:cNvCxnSpPr>
          <a:stCxn id="52" idx="0"/>
          <a:endCxn id="53" idx="2"/>
        </xdr:cNvCxnSpPr>
      </xdr:nvCxnSpPr>
      <xdr:spPr>
        <a:xfrm flipV="1">
          <a:off x="6872247" y="4419600"/>
          <a:ext cx="993" cy="147918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451373</xdr:colOff>
      <xdr:row>14</xdr:row>
      <xdr:rowOff>99061</xdr:rowOff>
    </xdr:from>
    <xdr:to>
      <xdr:col>7</xdr:col>
      <xdr:colOff>2584973</xdr:colOff>
      <xdr:row>17</xdr:row>
      <xdr:rowOff>15241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B2426E2B-66A7-4CBB-9B90-F4862777517A}"/>
            </a:ext>
          </a:extLst>
        </xdr:cNvPr>
        <xdr:cNvSpPr/>
      </xdr:nvSpPr>
      <xdr:spPr>
        <a:xfrm>
          <a:off x="8901953" y="2209801"/>
          <a:ext cx="2133600" cy="4648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botões para navegar na planilha.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1615440</xdr:colOff>
      <xdr:row>16</xdr:row>
      <xdr:rowOff>10758</xdr:rowOff>
    </xdr:from>
    <xdr:to>
      <xdr:col>6</xdr:col>
      <xdr:colOff>106680</xdr:colOff>
      <xdr:row>17</xdr:row>
      <xdr:rowOff>129540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B2F0B936-1E6D-4185-84C4-24E473306750}"/>
            </a:ext>
          </a:extLst>
        </xdr:cNvPr>
        <xdr:cNvSpPr/>
      </xdr:nvSpPr>
      <xdr:spPr>
        <a:xfrm>
          <a:off x="1744980" y="2487258"/>
          <a:ext cx="6682740" cy="301662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6</xdr:col>
      <xdr:colOff>106680</xdr:colOff>
      <xdr:row>15</xdr:row>
      <xdr:rowOff>148591</xdr:rowOff>
    </xdr:from>
    <xdr:to>
      <xdr:col>7</xdr:col>
      <xdr:colOff>451373</xdr:colOff>
      <xdr:row>16</xdr:row>
      <xdr:rowOff>161589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958C9D89-82D2-4543-9639-6A136779C64A}"/>
            </a:ext>
          </a:extLst>
        </xdr:cNvPr>
        <xdr:cNvCxnSpPr>
          <a:stCxn id="58" idx="1"/>
          <a:endCxn id="60" idx="3"/>
        </xdr:cNvCxnSpPr>
      </xdr:nvCxnSpPr>
      <xdr:spPr>
        <a:xfrm flipH="1">
          <a:off x="8427720" y="2442211"/>
          <a:ext cx="474233" cy="195878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1615440</xdr:colOff>
      <xdr:row>17</xdr:row>
      <xdr:rowOff>132678</xdr:rowOff>
    </xdr:from>
    <xdr:to>
      <xdr:col>2</xdr:col>
      <xdr:colOff>182880</xdr:colOff>
      <xdr:row>19</xdr:row>
      <xdr:rowOff>76200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9B8D4296-D55D-4852-9124-BCB1FEECA764}"/>
            </a:ext>
          </a:extLst>
        </xdr:cNvPr>
        <xdr:cNvSpPr/>
      </xdr:nvSpPr>
      <xdr:spPr>
        <a:xfrm>
          <a:off x="1744980" y="2792058"/>
          <a:ext cx="1371600" cy="309282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45720</xdr:colOff>
      <xdr:row>19</xdr:row>
      <xdr:rowOff>99060</xdr:rowOff>
    </xdr:from>
    <xdr:to>
      <xdr:col>8</xdr:col>
      <xdr:colOff>1569720</xdr:colOff>
      <xdr:row>26</xdr:row>
      <xdr:rowOff>81581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60896902-29BF-4DD0-9A8E-186B3F4E54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3124200"/>
          <a:ext cx="13441680" cy="1262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15240</xdr:colOff>
      <xdr:row>19</xdr:row>
      <xdr:rowOff>101749</xdr:rowOff>
    </xdr:from>
    <xdr:to>
      <xdr:col>8</xdr:col>
      <xdr:colOff>1554480</xdr:colOff>
      <xdr:row>26</xdr:row>
      <xdr:rowOff>114300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250FE631-980B-4F27-A569-7C4B6AA9C558}"/>
            </a:ext>
          </a:extLst>
        </xdr:cNvPr>
        <xdr:cNvSpPr/>
      </xdr:nvSpPr>
      <xdr:spPr>
        <a:xfrm>
          <a:off x="144780" y="3126889"/>
          <a:ext cx="13456920" cy="1292711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68580</xdr:colOff>
      <xdr:row>37</xdr:row>
      <xdr:rowOff>53340</xdr:rowOff>
    </xdr:from>
    <xdr:to>
      <xdr:col>8</xdr:col>
      <xdr:colOff>1600200</xdr:colOff>
      <xdr:row>43</xdr:row>
      <xdr:rowOff>114974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3D2EEA6C-13C3-4014-99A2-B5CAB970A0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6377940"/>
          <a:ext cx="13449300" cy="1204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99060</xdr:colOff>
      <xdr:row>31</xdr:row>
      <xdr:rowOff>118251</xdr:rowOff>
    </xdr:from>
    <xdr:to>
      <xdr:col>4</xdr:col>
      <xdr:colOff>2392680</xdr:colOff>
      <xdr:row>36</xdr:row>
      <xdr:rowOff>160020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227DDD17-B6B2-428C-B904-365CD101A7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5337951"/>
          <a:ext cx="6454140" cy="956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1629785</xdr:colOff>
      <xdr:row>44</xdr:row>
      <xdr:rowOff>170778</xdr:rowOff>
    </xdr:from>
    <xdr:to>
      <xdr:col>5</xdr:col>
      <xdr:colOff>776148</xdr:colOff>
      <xdr:row>48</xdr:row>
      <xdr:rowOff>76200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1678ED7B-0F90-40D1-BB15-AF44AEF640A6}"/>
            </a:ext>
          </a:extLst>
        </xdr:cNvPr>
        <xdr:cNvSpPr/>
      </xdr:nvSpPr>
      <xdr:spPr>
        <a:xfrm>
          <a:off x="5919845" y="7828878"/>
          <a:ext cx="1950523" cy="667422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 os reias dados do seu colaborador</a:t>
          </a:r>
          <a:r>
            <a:rPr lang="pt-BR" sz="1100" baseline="0">
              <a:solidFill>
                <a:schemeClr val="accent2"/>
              </a:solidFill>
            </a:rPr>
            <a:t> para ver os seus gastos.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2605047</xdr:colOff>
      <xdr:row>43</xdr:row>
      <xdr:rowOff>152400</xdr:rowOff>
    </xdr:from>
    <xdr:to>
      <xdr:col>4</xdr:col>
      <xdr:colOff>2606040</xdr:colOff>
      <xdr:row>44</xdr:row>
      <xdr:rowOff>170778</xdr:rowOff>
    </xdr:to>
    <xdr:cxnSp macro="">
      <xdr:nvCxnSpPr>
        <xdr:cNvPr id="80" name="Conector de Seta Reta 79">
          <a:extLst>
            <a:ext uri="{FF2B5EF4-FFF2-40B4-BE49-F238E27FC236}">
              <a16:creationId xmlns:a16="http://schemas.microsoft.com/office/drawing/2014/main" id="{385FE0BF-7EDB-42C7-84FD-F1C0A8B69096}"/>
            </a:ext>
          </a:extLst>
        </xdr:cNvPr>
        <xdr:cNvCxnSpPr>
          <a:stCxn id="79" idx="0"/>
          <a:endCxn id="86" idx="2"/>
        </xdr:cNvCxnSpPr>
      </xdr:nvCxnSpPr>
      <xdr:spPr>
        <a:xfrm flipV="1">
          <a:off x="6895107" y="7620000"/>
          <a:ext cx="993" cy="208878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37</xdr:row>
      <xdr:rowOff>63649</xdr:rowOff>
    </xdr:from>
    <xdr:to>
      <xdr:col>8</xdr:col>
      <xdr:colOff>1577340</xdr:colOff>
      <xdr:row>43</xdr:row>
      <xdr:rowOff>152400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B763A14E-849B-4FE1-8157-25AE322C04BA}"/>
            </a:ext>
          </a:extLst>
        </xdr:cNvPr>
        <xdr:cNvSpPr/>
      </xdr:nvSpPr>
      <xdr:spPr>
        <a:xfrm>
          <a:off x="167640" y="6388249"/>
          <a:ext cx="13456920" cy="1231751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1</xdr:col>
      <xdr:colOff>837303</xdr:colOff>
      <xdr:row>50</xdr:row>
      <xdr:rowOff>145678</xdr:rowOff>
    </xdr:from>
    <xdr:to>
      <xdr:col>8</xdr:col>
      <xdr:colOff>367552</xdr:colOff>
      <xdr:row>73</xdr:row>
      <xdr:rowOff>172803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E3E8C4B4-334E-434C-9B26-3ECE7A25BC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809" y="8805584"/>
          <a:ext cx="11444343" cy="4150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792030</xdr:colOff>
      <xdr:row>46</xdr:row>
      <xdr:rowOff>128197</xdr:rowOff>
    </xdr:from>
    <xdr:to>
      <xdr:col>1</xdr:col>
      <xdr:colOff>2744346</xdr:colOff>
      <xdr:row>50</xdr:row>
      <xdr:rowOff>51549</xdr:rowOff>
    </xdr:to>
    <xdr:sp macro="" textlink="">
      <xdr:nvSpPr>
        <xdr:cNvPr id="96" name="Retângulo 95">
          <a:extLst>
            <a:ext uri="{FF2B5EF4-FFF2-40B4-BE49-F238E27FC236}">
              <a16:creationId xmlns:a16="http://schemas.microsoft.com/office/drawing/2014/main" id="{A9EADC42-69D4-4967-B1FB-6793D893D81D}"/>
            </a:ext>
          </a:extLst>
        </xdr:cNvPr>
        <xdr:cNvSpPr/>
      </xdr:nvSpPr>
      <xdr:spPr>
        <a:xfrm>
          <a:off x="917536" y="8052997"/>
          <a:ext cx="1952316" cy="65845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a anális</a:t>
          </a:r>
          <a:r>
            <a:rPr lang="pt-BR" sz="1100" baseline="0">
              <a:solidFill>
                <a:schemeClr val="accent2"/>
              </a:solidFill>
            </a:rPr>
            <a:t>e dos seus dados para comparar o previsto com o realizado.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1247440</xdr:colOff>
      <xdr:row>87</xdr:row>
      <xdr:rowOff>17929</xdr:rowOff>
    </xdr:from>
    <xdr:to>
      <xdr:col>5</xdr:col>
      <xdr:colOff>575087</xdr:colOff>
      <xdr:row>90</xdr:row>
      <xdr:rowOff>125505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AA142C88-FA1B-4A2A-9E34-2E134A2E15FC}"/>
            </a:ext>
          </a:extLst>
        </xdr:cNvPr>
        <xdr:cNvSpPr/>
      </xdr:nvSpPr>
      <xdr:spPr>
        <a:xfrm>
          <a:off x="5532569" y="15311717"/>
          <a:ext cx="2133600" cy="645459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Preencha</a:t>
          </a:r>
          <a:r>
            <a:rPr lang="pt-BR" sz="1100" baseline="0">
              <a:solidFill>
                <a:schemeClr val="accent2"/>
              </a:solidFill>
            </a:rPr>
            <a:t> os dados necessários para eles serem utiliados nos cálculos.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842683</xdr:colOff>
      <xdr:row>86</xdr:row>
      <xdr:rowOff>144779</xdr:rowOff>
    </xdr:from>
    <xdr:to>
      <xdr:col>4</xdr:col>
      <xdr:colOff>161365</xdr:colOff>
      <xdr:row>93</xdr:row>
      <xdr:rowOff>143435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1CED6D69-DFFC-423C-9042-05598228C6AE}"/>
            </a:ext>
          </a:extLst>
        </xdr:cNvPr>
        <xdr:cNvSpPr/>
      </xdr:nvSpPr>
      <xdr:spPr>
        <a:xfrm>
          <a:off x="968189" y="15259273"/>
          <a:ext cx="3478305" cy="1253715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161365</xdr:colOff>
      <xdr:row>88</xdr:row>
      <xdr:rowOff>161365</xdr:rowOff>
    </xdr:from>
    <xdr:to>
      <xdr:col>4</xdr:col>
      <xdr:colOff>1247440</xdr:colOff>
      <xdr:row>90</xdr:row>
      <xdr:rowOff>54460</xdr:rowOff>
    </xdr:to>
    <xdr:cxnSp macro="">
      <xdr:nvCxnSpPr>
        <xdr:cNvPr id="107" name="Conector de Seta Reta 106">
          <a:extLst>
            <a:ext uri="{FF2B5EF4-FFF2-40B4-BE49-F238E27FC236}">
              <a16:creationId xmlns:a16="http://schemas.microsoft.com/office/drawing/2014/main" id="{D5EE4DD9-768B-49FC-A4A8-F2E56A72B30D}"/>
            </a:ext>
          </a:extLst>
        </xdr:cNvPr>
        <xdr:cNvCxnSpPr>
          <a:stCxn id="105" idx="1"/>
          <a:endCxn id="106" idx="3"/>
        </xdr:cNvCxnSpPr>
      </xdr:nvCxnSpPr>
      <xdr:spPr>
        <a:xfrm flipH="1">
          <a:off x="4446494" y="15634447"/>
          <a:ext cx="1086075" cy="251684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1426734</xdr:colOff>
      <xdr:row>95</xdr:row>
      <xdr:rowOff>62754</xdr:rowOff>
    </xdr:from>
    <xdr:to>
      <xdr:col>5</xdr:col>
      <xdr:colOff>591671</xdr:colOff>
      <xdr:row>97</xdr:row>
      <xdr:rowOff>53789</xdr:rowOff>
    </xdr:to>
    <xdr:sp macro="" textlink="">
      <xdr:nvSpPr>
        <xdr:cNvPr id="108" name="Retângulo 107">
          <a:extLst>
            <a:ext uri="{FF2B5EF4-FFF2-40B4-BE49-F238E27FC236}">
              <a16:creationId xmlns:a16="http://schemas.microsoft.com/office/drawing/2014/main" id="{EC77FE33-E04F-45AE-8C0C-64B8B0EE2E1E}"/>
            </a:ext>
          </a:extLst>
        </xdr:cNvPr>
        <xdr:cNvSpPr/>
      </xdr:nvSpPr>
      <xdr:spPr>
        <a:xfrm>
          <a:off x="5711863" y="16790895"/>
          <a:ext cx="1970890" cy="34962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 CNPJ da sua Empresa.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887507</xdr:colOff>
      <xdr:row>95</xdr:row>
      <xdr:rowOff>73063</xdr:rowOff>
    </xdr:from>
    <xdr:to>
      <xdr:col>4</xdr:col>
      <xdr:colOff>1138518</xdr:colOff>
      <xdr:row>97</xdr:row>
      <xdr:rowOff>98613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7DDDF535-AF9B-44E7-9F45-21D1B307401D}"/>
            </a:ext>
          </a:extLst>
        </xdr:cNvPr>
        <xdr:cNvSpPr/>
      </xdr:nvSpPr>
      <xdr:spPr>
        <a:xfrm>
          <a:off x="1013013" y="16801204"/>
          <a:ext cx="4410634" cy="384138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1138518</xdr:colOff>
      <xdr:row>96</xdr:row>
      <xdr:rowOff>58272</xdr:rowOff>
    </xdr:from>
    <xdr:to>
      <xdr:col>4</xdr:col>
      <xdr:colOff>1426734</xdr:colOff>
      <xdr:row>96</xdr:row>
      <xdr:rowOff>85838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FC47DEAC-509C-4C25-A3B6-DD9FB8F19FFC}"/>
            </a:ext>
          </a:extLst>
        </xdr:cNvPr>
        <xdr:cNvCxnSpPr>
          <a:stCxn id="108" idx="1"/>
          <a:endCxn id="109" idx="3"/>
        </xdr:cNvCxnSpPr>
      </xdr:nvCxnSpPr>
      <xdr:spPr>
        <a:xfrm flipH="1">
          <a:off x="5423647" y="16965707"/>
          <a:ext cx="288216" cy="27566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1192307</xdr:colOff>
      <xdr:row>101</xdr:row>
      <xdr:rowOff>143438</xdr:rowOff>
    </xdr:from>
    <xdr:to>
      <xdr:col>7</xdr:col>
      <xdr:colOff>1299884</xdr:colOff>
      <xdr:row>125</xdr:row>
      <xdr:rowOff>70901</xdr:rowOff>
    </xdr:to>
    <xdr:pic>
      <xdr:nvPicPr>
        <xdr:cNvPr id="111" name="Imagem 110">
          <a:extLst>
            <a:ext uri="{FF2B5EF4-FFF2-40B4-BE49-F238E27FC236}">
              <a16:creationId xmlns:a16="http://schemas.microsoft.com/office/drawing/2014/main" id="{BAC5241B-67C4-49E7-A0C3-83F651BA6F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813" y="17947344"/>
          <a:ext cx="8426824" cy="4230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1183749</xdr:colOff>
      <xdr:row>106</xdr:row>
      <xdr:rowOff>51060</xdr:rowOff>
    </xdr:from>
    <xdr:to>
      <xdr:col>1</xdr:col>
      <xdr:colOff>2492188</xdr:colOff>
      <xdr:row>110</xdr:row>
      <xdr:rowOff>143436</xdr:rowOff>
    </xdr:to>
    <xdr:sp macro="" textlink="">
      <xdr:nvSpPr>
        <xdr:cNvPr id="120" name="Retângulo 119">
          <a:extLst>
            <a:ext uri="{FF2B5EF4-FFF2-40B4-BE49-F238E27FC236}">
              <a16:creationId xmlns:a16="http://schemas.microsoft.com/office/drawing/2014/main" id="{3C246D83-59CD-4C5B-9426-0864C9FA5E41}"/>
            </a:ext>
          </a:extLst>
        </xdr:cNvPr>
        <xdr:cNvSpPr/>
      </xdr:nvSpPr>
      <xdr:spPr>
        <a:xfrm>
          <a:off x="1309255" y="18751436"/>
          <a:ext cx="1308439" cy="80955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em "Imprimir</a:t>
          </a:r>
          <a:r>
            <a:rPr lang="pt-BR" sz="1100" baseline="0">
              <a:solidFill>
                <a:schemeClr val="accent2"/>
              </a:solidFill>
            </a:rPr>
            <a:t>" para poder imprimir seu Holerite.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1174375</xdr:colOff>
      <xdr:row>103</xdr:row>
      <xdr:rowOff>80682</xdr:rowOff>
    </xdr:from>
    <xdr:to>
      <xdr:col>1</xdr:col>
      <xdr:colOff>2429434</xdr:colOff>
      <xdr:row>105</xdr:row>
      <xdr:rowOff>44824</xdr:rowOff>
    </xdr:to>
    <xdr:sp macro="" textlink="">
      <xdr:nvSpPr>
        <xdr:cNvPr id="123" name="Retângulo 122">
          <a:extLst>
            <a:ext uri="{FF2B5EF4-FFF2-40B4-BE49-F238E27FC236}">
              <a16:creationId xmlns:a16="http://schemas.microsoft.com/office/drawing/2014/main" id="{BC88DAAF-8CCA-40D6-860A-3AF63BF9ED4C}"/>
            </a:ext>
          </a:extLst>
        </xdr:cNvPr>
        <xdr:cNvSpPr/>
      </xdr:nvSpPr>
      <xdr:spPr>
        <a:xfrm>
          <a:off x="1299881" y="18243176"/>
          <a:ext cx="1255059" cy="32273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1801905</xdr:colOff>
      <xdr:row>105</xdr:row>
      <xdr:rowOff>44824</xdr:rowOff>
    </xdr:from>
    <xdr:to>
      <xdr:col>1</xdr:col>
      <xdr:colOff>1837969</xdr:colOff>
      <xdr:row>106</xdr:row>
      <xdr:rowOff>51060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28638018-18B1-4E79-866D-610FED0CE7FC}"/>
            </a:ext>
          </a:extLst>
        </xdr:cNvPr>
        <xdr:cNvCxnSpPr>
          <a:stCxn id="120" idx="0"/>
          <a:endCxn id="123" idx="2"/>
        </xdr:cNvCxnSpPr>
      </xdr:nvCxnSpPr>
      <xdr:spPr>
        <a:xfrm flipH="1" flipV="1">
          <a:off x="1927411" y="18565906"/>
          <a:ext cx="36064" cy="18553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1945751</xdr:colOff>
      <xdr:row>98</xdr:row>
      <xdr:rowOff>158636</xdr:rowOff>
    </xdr:from>
    <xdr:to>
      <xdr:col>2</xdr:col>
      <xdr:colOff>824754</xdr:colOff>
      <xdr:row>101</xdr:row>
      <xdr:rowOff>143435</xdr:rowOff>
    </xdr:to>
    <xdr:sp macro="" textlink="">
      <xdr:nvSpPr>
        <xdr:cNvPr id="125" name="Retângulo 124">
          <a:extLst>
            <a:ext uri="{FF2B5EF4-FFF2-40B4-BE49-F238E27FC236}">
              <a16:creationId xmlns:a16="http://schemas.microsoft.com/office/drawing/2014/main" id="{765903BC-E85A-48D1-8E74-0D6984C42565}"/>
            </a:ext>
          </a:extLst>
        </xdr:cNvPr>
        <xdr:cNvSpPr/>
      </xdr:nvSpPr>
      <xdr:spPr>
        <a:xfrm>
          <a:off x="2071257" y="17424660"/>
          <a:ext cx="1684956" cy="52268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</a:t>
          </a:r>
          <a:r>
            <a:rPr lang="pt-BR" sz="1100" baseline="0">
              <a:solidFill>
                <a:schemeClr val="accent2"/>
              </a:solidFill>
            </a:rPr>
            <a:t>e a seta para poder voltar a Planilha.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1192307</xdr:colOff>
      <xdr:row>101</xdr:row>
      <xdr:rowOff>116541</xdr:rowOff>
    </xdr:from>
    <xdr:to>
      <xdr:col>1</xdr:col>
      <xdr:colOff>1739152</xdr:colOff>
      <xdr:row>103</xdr:row>
      <xdr:rowOff>44823</xdr:rowOff>
    </xdr:to>
    <xdr:sp macro="" textlink="">
      <xdr:nvSpPr>
        <xdr:cNvPr id="126" name="Retângulo 125">
          <a:extLst>
            <a:ext uri="{FF2B5EF4-FFF2-40B4-BE49-F238E27FC236}">
              <a16:creationId xmlns:a16="http://schemas.microsoft.com/office/drawing/2014/main" id="{A0F51303-2329-4654-82C0-0A0A67C5E685}"/>
            </a:ext>
          </a:extLst>
        </xdr:cNvPr>
        <xdr:cNvSpPr/>
      </xdr:nvSpPr>
      <xdr:spPr>
        <a:xfrm>
          <a:off x="1317813" y="17920447"/>
          <a:ext cx="546845" cy="28687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1739152</xdr:colOff>
      <xdr:row>100</xdr:row>
      <xdr:rowOff>61389</xdr:rowOff>
    </xdr:from>
    <xdr:to>
      <xdr:col>1</xdr:col>
      <xdr:colOff>1945751</xdr:colOff>
      <xdr:row>102</xdr:row>
      <xdr:rowOff>80682</xdr:rowOff>
    </xdr:to>
    <xdr:cxnSp macro="">
      <xdr:nvCxnSpPr>
        <xdr:cNvPr id="127" name="Conector de Seta Reta 126">
          <a:extLst>
            <a:ext uri="{FF2B5EF4-FFF2-40B4-BE49-F238E27FC236}">
              <a16:creationId xmlns:a16="http://schemas.microsoft.com/office/drawing/2014/main" id="{BBF288DF-A8E2-4A08-B461-7E00CDA5855D}"/>
            </a:ext>
          </a:extLst>
        </xdr:cNvPr>
        <xdr:cNvCxnSpPr>
          <a:stCxn id="125" idx="1"/>
          <a:endCxn id="126" idx="3"/>
        </xdr:cNvCxnSpPr>
      </xdr:nvCxnSpPr>
      <xdr:spPr>
        <a:xfrm flipH="1">
          <a:off x="1864658" y="17686001"/>
          <a:ext cx="206599" cy="377881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484092</xdr:colOff>
      <xdr:row>132</xdr:row>
      <xdr:rowOff>89646</xdr:rowOff>
    </xdr:from>
    <xdr:to>
      <xdr:col>8</xdr:col>
      <xdr:colOff>1066741</xdr:colOff>
      <xdr:row>157</xdr:row>
      <xdr:rowOff>44824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id="{FF42E36E-CBC3-48C2-ACF1-0DEC0D1A5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598" y="23451670"/>
          <a:ext cx="12496743" cy="4437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475130</xdr:colOff>
      <xdr:row>128</xdr:row>
      <xdr:rowOff>170330</xdr:rowOff>
    </xdr:from>
    <xdr:to>
      <xdr:col>1</xdr:col>
      <xdr:colOff>2384612</xdr:colOff>
      <xdr:row>132</xdr:row>
      <xdr:rowOff>0</xdr:rowOff>
    </xdr:to>
    <xdr:sp macro="" textlink="">
      <xdr:nvSpPr>
        <xdr:cNvPr id="129" name="Retângulo 128">
          <a:extLst>
            <a:ext uri="{FF2B5EF4-FFF2-40B4-BE49-F238E27FC236}">
              <a16:creationId xmlns:a16="http://schemas.microsoft.com/office/drawing/2014/main" id="{58B148A5-F3BD-4405-971D-AA8C37B35BD0}"/>
            </a:ext>
          </a:extLst>
        </xdr:cNvPr>
        <xdr:cNvSpPr/>
      </xdr:nvSpPr>
      <xdr:spPr>
        <a:xfrm>
          <a:off x="600636" y="22815177"/>
          <a:ext cx="1909482" cy="546847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a anális</a:t>
          </a:r>
          <a:r>
            <a:rPr lang="pt-BR" sz="1100" baseline="0">
              <a:solidFill>
                <a:schemeClr val="accent2"/>
              </a:solidFill>
            </a:rPr>
            <a:t>e dos seus dados a partir dos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20201020%20-%20Controle%20de%20F&#233;rias%20de%20Funcion&#225;rios.xlsm?1452C922" TargetMode="External"/><Relationship Id="rId1" Type="http://schemas.openxmlformats.org/officeDocument/2006/relationships/externalLinkPath" Target="file:///\\1452C922\20201020%20-%20Controle%20de%20F&#233;rias%20de%20Funcion&#225;ri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te/AppData/Local/Temp/Rar$DIa3876.45862/Holerite%20Recibo%20de%20Salar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lab"/>
      <sheetName val="Calculos"/>
      <sheetName val="Projeção"/>
      <sheetName val="Dash1"/>
      <sheetName val="Instruções"/>
      <sheetName val="Calc"/>
    </sheetNames>
    <sheetDataSet>
      <sheetData sheetId="0">
        <row r="26">
          <cell r="G26" t="str">
            <v>Empresa ABCDE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Holerite Colorido"/>
      <sheetName val="Holerite Preto e Branco"/>
      <sheetName val="Base de Dados"/>
      <sheetName val="Configuração"/>
    </sheetNames>
    <sheetDataSet>
      <sheetData sheetId="0" refreshError="1"/>
      <sheetData sheetId="1" refreshError="1"/>
      <sheetData sheetId="2"/>
      <sheetData sheetId="3">
        <row r="1">
          <cell r="B1" t="str">
            <v>Chave</v>
          </cell>
        </row>
      </sheetData>
      <sheetData sheetId="4">
        <row r="1">
          <cell r="A1" t="str">
            <v>Código</v>
          </cell>
        </row>
        <row r="2">
          <cell r="D2">
            <v>9010</v>
          </cell>
        </row>
        <row r="3">
          <cell r="D3">
            <v>9011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las Galvino" refreshedDate="44131.567858333336" createdVersion="6" refreshedVersion="6" minRefreshableVersion="3" recordCount="50" xr:uid="{16BB1C1C-C51E-4426-91CF-7F27B9D6D775}">
  <cacheSource type="worksheet">
    <worksheetSource ref="B13:U63" sheet="Colab - Previsto"/>
  </cacheSource>
  <cacheFields count="19">
    <cacheField name="Matrícula" numFmtId="0">
      <sharedItems containsString="0" containsBlank="1" containsNumber="1" containsInteger="1" minValue="9001" maxValue="9003"/>
    </cacheField>
    <cacheField name="Colaborador" numFmtId="0">
      <sharedItems containsBlank="1" count="4">
        <s v="José da Silva"/>
        <s v="João Alves"/>
        <s v="Paulo Vitor"/>
        <m/>
      </sharedItems>
    </cacheField>
    <cacheField name="CBO" numFmtId="0">
      <sharedItems containsString="0" containsBlank="1" containsNumber="1" containsInteger="1" minValue="1234" maxValue="6789"/>
    </cacheField>
    <cacheField name="Área" numFmtId="0">
      <sharedItems containsBlank="1" count="4">
        <s v="Administrativo"/>
        <s v="Produção"/>
        <s v="Almoxarifado"/>
        <m/>
      </sharedItems>
    </cacheField>
    <cacheField name="Cargo" numFmtId="0">
      <sharedItems containsBlank="1"/>
    </cacheField>
    <cacheField name="Salário Base" numFmtId="164">
      <sharedItems containsString="0" containsBlank="1" containsNumber="1" containsInteger="1" minValue="1200" maxValue="2500"/>
    </cacheField>
    <cacheField name="Data Admissão" numFmtId="0">
      <sharedItems containsNonDate="0" containsDate="1" containsString="0" containsBlank="1" minDate="2019-05-10T00:00:00" maxDate="2020-01-02T00:00:00"/>
    </cacheField>
    <cacheField name="Hora Extra 50%" numFmtId="0">
      <sharedItems containsString="0" containsBlank="1" containsNumber="1" containsInteger="1" minValue="1" maxValue="1"/>
    </cacheField>
    <cacheField name="Hora Extra 100%" numFmtId="0">
      <sharedItems containsString="0" containsBlank="1" containsNumber="1" containsInteger="1" minValue="1" maxValue="60"/>
    </cacheField>
    <cacheField name="Valor Hora Extra" numFmtId="164">
      <sharedItems containsSemiMixedTypes="0" containsString="0" containsNumber="1" minValue="0" maxValue="1380.681818181818"/>
    </cacheField>
    <cacheField name="% Insalubridade" numFmtId="9">
      <sharedItems containsString="0" containsBlank="1" containsNumber="1" minValue="0" maxValue="0.1"/>
    </cacheField>
    <cacheField name="Valor Insalubridade" numFmtId="164">
      <sharedItems containsSemiMixedTypes="0" containsString="0" containsNumber="1" containsInteger="1" minValue="0" maxValue="150"/>
    </cacheField>
    <cacheField name="% Periculosidade" numFmtId="9">
      <sharedItems containsString="0" containsBlank="1" containsNumber="1" minValue="0" maxValue="0.2"/>
    </cacheField>
    <cacheField name="Valor Periculosidade" numFmtId="164">
      <sharedItems containsSemiMixedTypes="0" containsString="0" containsNumber="1" containsInteger="1" minValue="0" maxValue="300"/>
    </cacheField>
    <cacheField name="Salário Bruto" numFmtId="164">
      <sharedItems containsSemiMixedTypes="0" containsString="0" containsNumber="1" minValue="0" maxValue="3880.681818181818"/>
    </cacheField>
    <cacheField name="INSS" numFmtId="164">
      <sharedItems containsSemiMixedTypes="0" containsString="0" containsNumber="1" minValue="0" maxValue="465.68181818181813"/>
    </cacheField>
    <cacheField name="IR" numFmtId="164">
      <sharedItems containsSemiMixedTypes="0" containsString="0" containsNumber="1" minValue="0" maxValue="157.44999999999999"/>
    </cacheField>
    <cacheField name="Outras Deduções" numFmtId="0">
      <sharedItems containsNonDate="0" containsString="0" containsBlank="1"/>
    </cacheField>
    <cacheField name="Salário Líquido" numFmtId="164">
      <sharedItems containsSemiMixedTypes="0" containsString="0" containsNumber="1" minValue="0" maxValue="3257.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9001"/>
    <x v="0"/>
    <n v="1234"/>
    <x v="0"/>
    <s v="Assistente Administrativo"/>
    <n v="2500"/>
    <d v="2020-01-01T00:00:00"/>
    <n v="1"/>
    <n v="60"/>
    <n v="1380.681818181818"/>
    <n v="0"/>
    <n v="0"/>
    <n v="0"/>
    <n v="0"/>
    <n v="3880.681818181818"/>
    <n v="465.68181818181813"/>
    <n v="157.44999999999999"/>
    <m/>
    <n v="3257.55"/>
  </r>
  <r>
    <n v="9002"/>
    <x v="1"/>
    <n v="5678"/>
    <x v="1"/>
    <s v="Auxiliar de PCP"/>
    <n v="1200"/>
    <d v="2019-10-15T00:00:00"/>
    <n v="1"/>
    <n v="1"/>
    <n v="19.09090909090909"/>
    <n v="0"/>
    <n v="0"/>
    <n v="0"/>
    <n v="0"/>
    <n v="1219.090909090909"/>
    <n v="91.431818181818173"/>
    <n v="0"/>
    <m/>
    <n v="1127.6590909090908"/>
  </r>
  <r>
    <n v="9003"/>
    <x v="2"/>
    <n v="6789"/>
    <x v="2"/>
    <s v="Almoxarife"/>
    <n v="1500"/>
    <d v="2019-05-10T00:00:00"/>
    <n v="1"/>
    <n v="1"/>
    <n v="23.863636363636363"/>
    <n v="0.1"/>
    <n v="150"/>
    <n v="0.2"/>
    <n v="300"/>
    <n v="1973.8636363636363"/>
    <n v="148.03977272727272"/>
    <n v="0"/>
    <m/>
    <n v="1825.8238636363635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  <r>
    <m/>
    <x v="3"/>
    <m/>
    <x v="3"/>
    <m/>
    <m/>
    <m/>
    <m/>
    <m/>
    <n v="0"/>
    <m/>
    <n v="0"/>
    <m/>
    <n v="0"/>
    <n v="0"/>
    <n v="0"/>
    <n v="0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2358F-56D9-474B-8F36-DEE19F96086E}" name="Tabela dinâmica1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chartFormat="2">
  <location ref="B83:D88" firstHeaderRow="0" firstDataRow="1" firstDataCol="1"/>
  <pivotFields count="19">
    <pivotField showAll="0"/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dataField="1" numFmtId="164" showAll="0"/>
    <pivotField showAll="0"/>
    <pivotField numFmtId="164" showAll="0"/>
    <pivotField showAll="0"/>
    <pivotField numFmtId="164" showAll="0"/>
    <pivotField numFmtId="164" showAll="0"/>
    <pivotField numFmtId="164" showAll="0"/>
    <pivotField numFmtId="164" showAll="0"/>
    <pivotField showAll="0"/>
    <pivotField dataField="1" numFmtId="16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alário Líquido " fld="18" baseField="3" baseItem="0" numFmtId="164"/>
    <dataField name="Hora Extra" fld="9" baseField="3" baseItem="0" numFmtId="16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DBC406-DEBD-4591-9135-C51E37A3F279}" name="Tabela dinâmica2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chartFormat="1">
  <location ref="F83:H88" firstHeaderRow="0" firstDataRow="1" firstDataCol="1"/>
  <pivotFields count="19">
    <pivotField showAll="0"/>
    <pivotField axis="axisRow" showAll="0">
      <items count="5"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numFmtId="164" showAll="0"/>
    <pivotField showAll="0"/>
    <pivotField numFmtId="164" showAll="0"/>
    <pivotField numFmtId="164" showAll="0"/>
    <pivotField numFmtId="164" showAll="0"/>
    <pivotField numFmtId="164" showAll="0"/>
    <pivotField showAll="0"/>
    <pivotField dataField="1" numFmtId="164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alário Líquido " fld="18" baseField="1" baseItem="1" numFmtId="164"/>
    <dataField name="Hora Extra" fld="9" baseField="1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CEF0D-B4D2-4137-B13A-D56824AC1D90}">
  <sheetPr codeName="Planilha1">
    <tabColor theme="8" tint="-0.499984740745262"/>
  </sheetPr>
  <dimension ref="A1:V33"/>
  <sheetViews>
    <sheetView showGridLines="0" showRowColHeaders="0" workbookViewId="0"/>
  </sheetViews>
  <sheetFormatPr defaultColWidth="0" defaultRowHeight="14.5" zeroHeight="1"/>
  <cols>
    <col min="1" max="22" width="8.81640625" customWidth="1"/>
    <col min="23" max="16384" width="8.81640625" hidden="1"/>
  </cols>
  <sheetData>
    <row r="1" s="2" customFormat="1"/>
    <row r="2" s="2" customFormat="1"/>
    <row r="3" s="2" customFormat="1"/>
    <row r="4" ht="2.15" customHeight="1"/>
    <row r="5" s="1" customFormat="1" ht="5.15" customHeight="1"/>
    <row r="6" ht="3" customHeight="1"/>
    <row r="7" s="1" customFormat="1" ht="5.15" customHeight="1"/>
    <row r="8" ht="2.15" customHeight="1"/>
    <row r="9"/>
    <row r="10"/>
    <row r="11"/>
    <row r="12"/>
    <row r="13"/>
    <row r="14"/>
    <row r="15"/>
    <row r="16"/>
    <row r="17" spans="5:15"/>
    <row r="18" spans="5:15"/>
    <row r="19" spans="5:15"/>
    <row r="20" spans="5:15"/>
    <row r="21" spans="5:15"/>
    <row r="22" spans="5:15"/>
    <row r="23" spans="5:15"/>
    <row r="24" spans="5:15"/>
    <row r="25" spans="5:15"/>
    <row r="26" spans="5:15" ht="21">
      <c r="E26" s="129" t="s">
        <v>0</v>
      </c>
      <c r="F26" s="130"/>
      <c r="G26" s="131" t="s">
        <v>1</v>
      </c>
      <c r="H26" s="132"/>
      <c r="I26" s="132"/>
      <c r="J26" s="132"/>
      <c r="K26" s="132"/>
      <c r="L26" s="132"/>
      <c r="M26" s="132"/>
      <c r="N26" s="132"/>
      <c r="O26" s="133"/>
    </row>
    <row r="27" spans="5:15"/>
    <row r="28" spans="5:15"/>
    <row r="29" spans="5:15"/>
    <row r="30" spans="5:15"/>
    <row r="31" spans="5:15"/>
    <row r="32" spans="5:15"/>
    <row r="33"/>
  </sheetData>
  <sheetProtection selectLockedCells="1" selectUnlockedCells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EF1A-F71A-4505-A55D-D674C15A4BB2}">
  <sheetPr codeName="Planilha5">
    <tabColor theme="8" tint="-0.499984740745262"/>
  </sheetPr>
  <dimension ref="B1:AK91"/>
  <sheetViews>
    <sheetView showGridLines="0" showRowColHeaders="0" zoomScale="85" zoomScaleNormal="85" workbookViewId="0">
      <pane ySplit="13" topLeftCell="A14" activePane="bottomLeft" state="frozen"/>
      <selection pane="bottomLeft"/>
    </sheetView>
  </sheetViews>
  <sheetFormatPr defaultColWidth="8.81640625" defaultRowHeight="0" customHeight="1" zeroHeight="1"/>
  <cols>
    <col min="1" max="1" width="1.81640625" customWidth="1"/>
    <col min="2" max="2" width="9.81640625" customWidth="1"/>
    <col min="3" max="4" width="20.81640625" customWidth="1"/>
    <col min="5" max="6" width="25.81640625" customWidth="1"/>
    <col min="7" max="7" width="12.1796875" style="11" bestFit="1" customWidth="1"/>
    <col min="8" max="8" width="11.54296875" style="12" bestFit="1" customWidth="1"/>
    <col min="9" max="9" width="9.54296875" style="78" bestFit="1" customWidth="1"/>
    <col min="10" max="10" width="10.1796875" style="78" bestFit="1" customWidth="1"/>
    <col min="11" max="11" width="10.54296875" style="78" bestFit="1" customWidth="1"/>
    <col min="12" max="12" width="13" style="83" bestFit="1" customWidth="1"/>
    <col min="13" max="13" width="13" style="78" bestFit="1" customWidth="1"/>
    <col min="14" max="14" width="13.7265625" style="83" bestFit="1" customWidth="1"/>
    <col min="15" max="15" width="13.7265625" style="78" bestFit="1" customWidth="1"/>
    <col min="16" max="16" width="13.453125" style="78" customWidth="1"/>
    <col min="17" max="17" width="10.54296875" style="81" bestFit="1" customWidth="1"/>
    <col min="18" max="18" width="12.81640625" style="81" customWidth="1"/>
    <col min="19" max="19" width="15.453125" style="81" bestFit="1" customWidth="1"/>
    <col min="20" max="20" width="15.453125" style="81" customWidth="1"/>
    <col min="21" max="21" width="13.453125" style="81" bestFit="1" customWidth="1"/>
    <col min="22" max="22" width="11" customWidth="1"/>
    <col min="23" max="23" width="12.26953125" bestFit="1" customWidth="1"/>
    <col min="27" max="27" width="10.26953125" bestFit="1" customWidth="1"/>
  </cols>
  <sheetData>
    <row r="1" spans="2:37" ht="14.5"/>
    <row r="2" spans="2:37" ht="14.5"/>
    <row r="3" spans="2:37" ht="14.5"/>
    <row r="4" spans="2:37" ht="2.15" customHeight="1"/>
    <row r="5" spans="2:37" s="1" customFormat="1" ht="5.15" customHeight="1">
      <c r="G5" s="13"/>
      <c r="H5" s="14"/>
      <c r="I5" s="79"/>
      <c r="J5" s="79"/>
      <c r="K5" s="79"/>
      <c r="L5" s="84"/>
      <c r="M5" s="79"/>
      <c r="N5" s="84"/>
      <c r="O5" s="79"/>
      <c r="P5" s="79"/>
      <c r="Q5" s="82"/>
      <c r="R5" s="82"/>
      <c r="S5" s="82"/>
      <c r="T5" s="82"/>
      <c r="U5" s="82"/>
    </row>
    <row r="6" spans="2:37" ht="3" customHeight="1"/>
    <row r="7" spans="2:37" s="1" customFormat="1" ht="5.15" customHeight="1">
      <c r="G7" s="13"/>
      <c r="H7" s="14"/>
      <c r="I7" s="79"/>
      <c r="J7" s="79"/>
      <c r="K7" s="79"/>
      <c r="L7" s="84"/>
      <c r="M7" s="79"/>
      <c r="N7" s="84"/>
      <c r="O7" s="79"/>
      <c r="P7" s="79"/>
      <c r="Q7" s="82"/>
      <c r="R7" s="82"/>
      <c r="S7" s="82"/>
      <c r="T7" s="82"/>
      <c r="U7" s="82"/>
    </row>
    <row r="8" spans="2:37" ht="2.15" customHeight="1"/>
    <row r="9" spans="2:37" ht="30" customHeight="1"/>
    <row r="10" spans="2:37" ht="25" customHeight="1">
      <c r="B10" s="8"/>
      <c r="D10" s="121" t="s">
        <v>0</v>
      </c>
      <c r="E10" s="134" t="s">
        <v>1</v>
      </c>
      <c r="F10" s="135"/>
    </row>
    <row r="11" spans="2:37" ht="5.15" customHeight="1"/>
    <row r="12" spans="2:37" ht="40" customHeight="1">
      <c r="B12" s="98"/>
      <c r="C12" s="136" t="s">
        <v>92</v>
      </c>
      <c r="D12" s="137"/>
      <c r="E12" s="137"/>
      <c r="F12" s="137"/>
      <c r="G12" s="137"/>
      <c r="H12" s="137"/>
      <c r="I12" s="80"/>
      <c r="J12" s="80"/>
      <c r="K12" s="80"/>
      <c r="L12" s="85"/>
      <c r="M12" s="80"/>
      <c r="N12" s="85"/>
      <c r="O12" s="80"/>
      <c r="P12" s="80"/>
      <c r="Q12" s="80"/>
      <c r="R12" s="80"/>
      <c r="S12" s="80"/>
      <c r="T12" s="80"/>
      <c r="U12" s="80"/>
      <c r="V12" s="80"/>
      <c r="W12" s="80"/>
    </row>
    <row r="13" spans="2:37" s="92" customFormat="1" ht="32.15" customHeight="1">
      <c r="B13" s="86" t="s">
        <v>59</v>
      </c>
      <c r="C13" s="86" t="s">
        <v>2</v>
      </c>
      <c r="D13" s="86" t="s">
        <v>23</v>
      </c>
      <c r="E13" s="9" t="s">
        <v>3</v>
      </c>
      <c r="F13" s="87" t="s">
        <v>4</v>
      </c>
      <c r="G13" s="88" t="s">
        <v>15</v>
      </c>
      <c r="H13" s="87" t="s">
        <v>16</v>
      </c>
      <c r="I13" s="89" t="s">
        <v>52</v>
      </c>
      <c r="J13" s="89" t="s">
        <v>53</v>
      </c>
      <c r="K13" s="89" t="s">
        <v>51</v>
      </c>
      <c r="L13" s="90" t="s">
        <v>54</v>
      </c>
      <c r="M13" s="89" t="s">
        <v>56</v>
      </c>
      <c r="N13" s="90" t="s">
        <v>55</v>
      </c>
      <c r="O13" s="89" t="s">
        <v>57</v>
      </c>
      <c r="P13" s="89" t="s">
        <v>58</v>
      </c>
      <c r="Q13" s="91" t="s">
        <v>46</v>
      </c>
      <c r="R13" s="91" t="s">
        <v>47</v>
      </c>
      <c r="S13" s="91" t="s">
        <v>48</v>
      </c>
      <c r="T13" s="91" t="s">
        <v>74</v>
      </c>
      <c r="U13" s="91" t="s">
        <v>50</v>
      </c>
      <c r="V13" s="91" t="s">
        <v>76</v>
      </c>
      <c r="W13" s="91" t="s">
        <v>77</v>
      </c>
      <c r="X13"/>
    </row>
    <row r="14" spans="2:37" ht="16.399999999999999" customHeight="1">
      <c r="B14" s="4">
        <v>9001</v>
      </c>
      <c r="C14" s="4" t="s">
        <v>6</v>
      </c>
      <c r="D14" s="4">
        <v>1234</v>
      </c>
      <c r="E14" s="10" t="s">
        <v>7</v>
      </c>
      <c r="F14" s="10" t="s">
        <v>8</v>
      </c>
      <c r="G14" s="6">
        <v>2500</v>
      </c>
      <c r="H14" s="15">
        <v>43862</v>
      </c>
      <c r="I14" s="93">
        <v>1</v>
      </c>
      <c r="J14" s="93">
        <v>5</v>
      </c>
      <c r="K14" s="94">
        <f>SUM((G14/220)*I14*1.5,(G14/220)*J14*2)</f>
        <v>130.68181818181819</v>
      </c>
      <c r="L14" s="95">
        <v>0</v>
      </c>
      <c r="M14" s="94">
        <f>IF(L14="",0,G14*L14)</f>
        <v>0</v>
      </c>
      <c r="N14" s="95">
        <v>0</v>
      </c>
      <c r="O14" s="94">
        <f>IF(N14="",0,G14*N14)</f>
        <v>0</v>
      </c>
      <c r="P14" s="94">
        <f>G14+K14+M14+O14</f>
        <v>2630.681818181818</v>
      </c>
      <c r="Q14" s="96">
        <f>IFERROR(P14*VLOOKUP(P14,CG!$B$16:$C$19,2,1),0)</f>
        <v>236.76136363636363</v>
      </c>
      <c r="R14" s="5">
        <f>(P14-Q14-S14)*VLOOKUP((P14-Q14-S14),CG!$E$16:$G$20,2,1)-VLOOKUP((P14-Q14-S14),CG!$E$16:$G$20,3,1)</f>
        <v>36.744034090909082</v>
      </c>
      <c r="S14" s="97"/>
      <c r="T14" s="97"/>
      <c r="U14" s="5">
        <f>P14-Q14-R14-S14+T14</f>
        <v>2357.1764204545452</v>
      </c>
      <c r="V14" s="119" t="s">
        <v>78</v>
      </c>
      <c r="W14" s="120">
        <v>2021</v>
      </c>
      <c r="Z14" s="118"/>
      <c r="AA14" s="118"/>
      <c r="AB14" s="118"/>
      <c r="AC14" s="118"/>
      <c r="AE14" s="118"/>
      <c r="AF14" s="118"/>
      <c r="AG14" s="118"/>
      <c r="AH14" s="118"/>
      <c r="AI14" s="118"/>
      <c r="AJ14" s="118"/>
      <c r="AK14" s="118"/>
    </row>
    <row r="15" spans="2:37" ht="16.399999999999999" customHeight="1">
      <c r="B15" s="4">
        <v>9002</v>
      </c>
      <c r="C15" s="4" t="s">
        <v>9</v>
      </c>
      <c r="D15" s="4">
        <v>5678</v>
      </c>
      <c r="E15" s="10" t="s">
        <v>10</v>
      </c>
      <c r="F15" s="10" t="s">
        <v>11</v>
      </c>
      <c r="G15" s="6">
        <v>1200</v>
      </c>
      <c r="H15" s="15">
        <v>43753</v>
      </c>
      <c r="I15" s="93">
        <v>3</v>
      </c>
      <c r="J15" s="93">
        <v>2</v>
      </c>
      <c r="K15" s="94">
        <f t="shared" ref="K15:K17" si="0">SUM((G15/220)*I15*1.5,(G15/220)*J15*2)</f>
        <v>46.36363636363636</v>
      </c>
      <c r="L15" s="95">
        <v>0</v>
      </c>
      <c r="M15" s="94">
        <f t="shared" ref="M15:M17" si="1">IF(L15="",0,G15*L15)</f>
        <v>0</v>
      </c>
      <c r="N15" s="95">
        <v>0</v>
      </c>
      <c r="O15" s="94">
        <f t="shared" ref="O15:O17" si="2">IF(N15="",0,G15*N15)</f>
        <v>0</v>
      </c>
      <c r="P15" s="94">
        <f t="shared" ref="P15:P17" si="3">G15+K15+M15+O15</f>
        <v>1246.3636363636363</v>
      </c>
      <c r="Q15" s="96">
        <f>IFERROR(P15*VLOOKUP(P15,CG!$B$16:$C$19,2,1),0)</f>
        <v>93.47727272727272</v>
      </c>
      <c r="R15" s="5">
        <f>(P15-Q15-S15)*VLOOKUP((P15-Q15-S15),CG!$E$16:$G$20,2,1)-VLOOKUP((P15-Q15-S15),CG!$E$16:$G$20,3,1)</f>
        <v>0</v>
      </c>
      <c r="S15" s="97"/>
      <c r="T15" s="97"/>
      <c r="U15" s="5">
        <f t="shared" ref="U15:U63" si="4">P15-Q15-R15-S15+T15</f>
        <v>1152.8863636363635</v>
      </c>
      <c r="V15" s="119" t="s">
        <v>79</v>
      </c>
      <c r="W15" s="120">
        <v>2021</v>
      </c>
      <c r="Z15" s="118"/>
      <c r="AA15" s="118"/>
      <c r="AB15" s="118"/>
      <c r="AC15" s="118"/>
      <c r="AE15" s="118"/>
      <c r="AF15" s="118"/>
      <c r="AG15" s="118"/>
      <c r="AH15" s="118"/>
      <c r="AI15" s="118"/>
      <c r="AJ15" s="118"/>
      <c r="AK15" s="118"/>
    </row>
    <row r="16" spans="2:37" ht="16.399999999999999" customHeight="1">
      <c r="B16" s="4">
        <v>9003</v>
      </c>
      <c r="C16" s="4" t="s">
        <v>12</v>
      </c>
      <c r="D16" s="4">
        <v>6789</v>
      </c>
      <c r="E16" s="10" t="s">
        <v>13</v>
      </c>
      <c r="F16" s="10" t="s">
        <v>14</v>
      </c>
      <c r="G16" s="6">
        <v>1500</v>
      </c>
      <c r="H16" s="15">
        <v>43595</v>
      </c>
      <c r="I16" s="93">
        <v>10</v>
      </c>
      <c r="J16" s="93">
        <v>2</v>
      </c>
      <c r="K16" s="94">
        <f t="shared" si="0"/>
        <v>129.54545454545456</v>
      </c>
      <c r="L16" s="95">
        <v>0.1</v>
      </c>
      <c r="M16" s="94">
        <f t="shared" si="1"/>
        <v>150</v>
      </c>
      <c r="N16" s="95">
        <v>0.2</v>
      </c>
      <c r="O16" s="94">
        <f t="shared" si="2"/>
        <v>300</v>
      </c>
      <c r="P16" s="94">
        <f t="shared" si="3"/>
        <v>2079.5454545454545</v>
      </c>
      <c r="Q16" s="96">
        <f>IFERROR(P16*VLOOKUP(P16,CG!$B$16:$C$19,2,1),0)</f>
        <v>155.96590909090909</v>
      </c>
      <c r="R16" s="5">
        <f>(P16-Q16-S16)*VLOOKUP((P16-Q16-S16),CG!$E$16:$G$20,2,1)-VLOOKUP((P16-Q16-S16),CG!$E$16:$G$20,3,1)</f>
        <v>1.4684659090908951</v>
      </c>
      <c r="S16" s="97"/>
      <c r="T16" s="97"/>
      <c r="U16" s="5">
        <f t="shared" si="4"/>
        <v>1922.1110795454547</v>
      </c>
      <c r="V16" s="119" t="s">
        <v>80</v>
      </c>
      <c r="W16" s="120">
        <v>2021</v>
      </c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</row>
    <row r="17" spans="2:37" ht="16.399999999999999" customHeight="1">
      <c r="B17" s="4"/>
      <c r="C17" s="4"/>
      <c r="D17" s="4"/>
      <c r="E17" s="10"/>
      <c r="F17" s="6"/>
      <c r="G17" s="6"/>
      <c r="H17" s="15"/>
      <c r="I17" s="93"/>
      <c r="J17" s="93"/>
      <c r="K17" s="94">
        <f t="shared" si="0"/>
        <v>0</v>
      </c>
      <c r="L17" s="95"/>
      <c r="M17" s="94">
        <f t="shared" si="1"/>
        <v>0</v>
      </c>
      <c r="N17" s="95"/>
      <c r="O17" s="94">
        <f t="shared" si="2"/>
        <v>0</v>
      </c>
      <c r="P17" s="94">
        <f t="shared" si="3"/>
        <v>0</v>
      </c>
      <c r="Q17" s="96">
        <f>IFERROR(P17*VLOOKUP(P17,CG!$B$16:$C$19,2,1),0)</f>
        <v>0</v>
      </c>
      <c r="R17" s="5">
        <f>(P17-Q17-S17)*VLOOKUP((P17-Q17-S17),CG!$E$16:$G$20,2,1)-VLOOKUP((P17-Q17-S17),CG!$E$16:$G$20,3,1)</f>
        <v>0</v>
      </c>
      <c r="S17" s="97"/>
      <c r="T17" s="97"/>
      <c r="U17" s="5">
        <f t="shared" si="4"/>
        <v>0</v>
      </c>
      <c r="V17" s="119"/>
      <c r="W17" s="120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</row>
    <row r="18" spans="2:37" ht="15" customHeight="1">
      <c r="B18" s="4"/>
      <c r="C18" s="4"/>
      <c r="D18" s="4"/>
      <c r="E18" s="10"/>
      <c r="F18" s="6"/>
      <c r="G18" s="6"/>
      <c r="H18" s="4"/>
      <c r="I18" s="93"/>
      <c r="J18" s="93"/>
      <c r="K18" s="94">
        <f t="shared" ref="K18:K63" si="5">SUM((G18/220)*I18*1.5,(G18/220)*J18*2)</f>
        <v>0</v>
      </c>
      <c r="L18" s="95"/>
      <c r="M18" s="94">
        <f t="shared" ref="M18:M63" si="6">IF(L18="",0,G18*L18)</f>
        <v>0</v>
      </c>
      <c r="N18" s="95"/>
      <c r="O18" s="94">
        <f t="shared" ref="O18:O63" si="7">IF(N18="",0,G18*N18)</f>
        <v>0</v>
      </c>
      <c r="P18" s="94">
        <f t="shared" ref="P18:P63" si="8">G18+K18+M18+O18</f>
        <v>0</v>
      </c>
      <c r="Q18" s="96">
        <f>IFERROR(P18*VLOOKUP(P18,CG!$B$16:$C$19,2,1),0)</f>
        <v>0</v>
      </c>
      <c r="R18" s="5">
        <f>(P18-Q18-S18)*VLOOKUP((P18-Q18-S18),CG!$E$16:$G$20,2,1)-VLOOKUP((P18-Q18-S18),CG!$E$16:$G$20,3,1)</f>
        <v>0</v>
      </c>
      <c r="S18" s="97"/>
      <c r="T18" s="97"/>
      <c r="U18" s="5">
        <f t="shared" si="4"/>
        <v>0</v>
      </c>
      <c r="V18" s="119"/>
      <c r="W18" s="120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</row>
    <row r="19" spans="2:37" ht="16.399999999999999" customHeight="1">
      <c r="B19" s="4"/>
      <c r="C19" s="4"/>
      <c r="D19" s="4"/>
      <c r="E19" s="10"/>
      <c r="F19" s="6"/>
      <c r="G19" s="6"/>
      <c r="H19" s="4"/>
      <c r="I19" s="93"/>
      <c r="J19" s="93"/>
      <c r="K19" s="94">
        <f t="shared" si="5"/>
        <v>0</v>
      </c>
      <c r="L19" s="95"/>
      <c r="M19" s="94">
        <f t="shared" si="6"/>
        <v>0</v>
      </c>
      <c r="N19" s="95"/>
      <c r="O19" s="94">
        <f t="shared" si="7"/>
        <v>0</v>
      </c>
      <c r="P19" s="94">
        <f t="shared" si="8"/>
        <v>0</v>
      </c>
      <c r="Q19" s="96">
        <f>IFERROR(P19*VLOOKUP(P19,CG!$B$16:$C$19,2,1),0)</f>
        <v>0</v>
      </c>
      <c r="R19" s="5">
        <f>(P19-Q19-S19)*VLOOKUP((P19-Q19-S19),CG!$E$16:$G$20,2,1)-VLOOKUP((P19-Q19-S19),CG!$E$16:$G$20,3,1)</f>
        <v>0</v>
      </c>
      <c r="S19" s="97"/>
      <c r="T19" s="97"/>
      <c r="U19" s="5">
        <f t="shared" si="4"/>
        <v>0</v>
      </c>
      <c r="V19" s="119"/>
      <c r="W19" s="120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</row>
    <row r="20" spans="2:37" ht="16.399999999999999" customHeight="1">
      <c r="B20" s="4"/>
      <c r="C20" s="4"/>
      <c r="D20" s="4"/>
      <c r="E20" s="10"/>
      <c r="F20" s="10"/>
      <c r="G20" s="6"/>
      <c r="H20" s="4"/>
      <c r="I20" s="93"/>
      <c r="J20" s="93"/>
      <c r="K20" s="94">
        <f t="shared" si="5"/>
        <v>0</v>
      </c>
      <c r="L20" s="95"/>
      <c r="M20" s="94">
        <f t="shared" si="6"/>
        <v>0</v>
      </c>
      <c r="N20" s="95"/>
      <c r="O20" s="94">
        <f t="shared" si="7"/>
        <v>0</v>
      </c>
      <c r="P20" s="94">
        <f t="shared" si="8"/>
        <v>0</v>
      </c>
      <c r="Q20" s="96">
        <f>IFERROR(P20*VLOOKUP(P20,CG!$B$16:$C$19,2,1),0)</f>
        <v>0</v>
      </c>
      <c r="R20" s="5">
        <f>(P20-Q20-S20)*VLOOKUP((P20-Q20-S20),CG!$E$16:$G$20,2,1)-VLOOKUP((P20-Q20-S20),CG!$E$16:$G$20,3,1)</f>
        <v>0</v>
      </c>
      <c r="S20" s="97"/>
      <c r="T20" s="97"/>
      <c r="U20" s="5">
        <f t="shared" si="4"/>
        <v>0</v>
      </c>
      <c r="V20" s="119"/>
      <c r="W20" s="120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</row>
    <row r="21" spans="2:37" ht="15" customHeight="1">
      <c r="B21" s="4"/>
      <c r="C21" s="4"/>
      <c r="D21" s="4"/>
      <c r="E21" s="10"/>
      <c r="F21" s="10"/>
      <c r="G21" s="6"/>
      <c r="H21" s="4"/>
      <c r="I21" s="93"/>
      <c r="J21" s="93"/>
      <c r="K21" s="94">
        <f t="shared" si="5"/>
        <v>0</v>
      </c>
      <c r="L21" s="95"/>
      <c r="M21" s="94">
        <f t="shared" si="6"/>
        <v>0</v>
      </c>
      <c r="N21" s="95"/>
      <c r="O21" s="94">
        <f t="shared" si="7"/>
        <v>0</v>
      </c>
      <c r="P21" s="94">
        <f t="shared" si="8"/>
        <v>0</v>
      </c>
      <c r="Q21" s="96">
        <f>IFERROR(P21*VLOOKUP(P21,CG!$B$16:$C$19,2,1),0)</f>
        <v>0</v>
      </c>
      <c r="R21" s="5">
        <f>(P21-Q21-S21)*VLOOKUP((P21-Q21-S21),CG!$E$16:$G$20,2,1)-VLOOKUP((P21-Q21-S21),CG!$E$16:$G$20,3,1)</f>
        <v>0</v>
      </c>
      <c r="S21" s="97"/>
      <c r="T21" s="97"/>
      <c r="U21" s="5">
        <f t="shared" si="4"/>
        <v>0</v>
      </c>
      <c r="V21" s="119"/>
      <c r="W21" s="120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</row>
    <row r="22" spans="2:37" ht="14.5">
      <c r="B22" s="4"/>
      <c r="C22" s="4"/>
      <c r="D22" s="4"/>
      <c r="E22" s="10"/>
      <c r="F22" s="10"/>
      <c r="G22" s="6"/>
      <c r="H22" s="4"/>
      <c r="I22" s="93"/>
      <c r="J22" s="93"/>
      <c r="K22" s="94">
        <f t="shared" si="5"/>
        <v>0</v>
      </c>
      <c r="L22" s="95"/>
      <c r="M22" s="94">
        <f t="shared" si="6"/>
        <v>0</v>
      </c>
      <c r="N22" s="95"/>
      <c r="O22" s="94">
        <f t="shared" si="7"/>
        <v>0</v>
      </c>
      <c r="P22" s="94">
        <f t="shared" si="8"/>
        <v>0</v>
      </c>
      <c r="Q22" s="96">
        <f>IFERROR(P22*VLOOKUP(P22,CG!$B$16:$C$19,2,1),0)</f>
        <v>0</v>
      </c>
      <c r="R22" s="5">
        <f>(P22-Q22-S22)*VLOOKUP((P22-Q22-S22),CG!$E$16:$G$20,2,1)-VLOOKUP((P22-Q22-S22),CG!$E$16:$G$20,3,1)</f>
        <v>0</v>
      </c>
      <c r="S22" s="97"/>
      <c r="T22" s="97"/>
      <c r="U22" s="5">
        <f t="shared" si="4"/>
        <v>0</v>
      </c>
      <c r="V22" s="119"/>
      <c r="W22" s="120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</row>
    <row r="23" spans="2:37" ht="14.5">
      <c r="B23" s="4"/>
      <c r="C23" s="4"/>
      <c r="D23" s="4"/>
      <c r="E23" s="10"/>
      <c r="F23" s="10"/>
      <c r="G23" s="6"/>
      <c r="H23" s="4"/>
      <c r="I23" s="93"/>
      <c r="J23" s="93"/>
      <c r="K23" s="94">
        <f t="shared" si="5"/>
        <v>0</v>
      </c>
      <c r="L23" s="95"/>
      <c r="M23" s="94">
        <f t="shared" si="6"/>
        <v>0</v>
      </c>
      <c r="N23" s="95"/>
      <c r="O23" s="94">
        <f t="shared" si="7"/>
        <v>0</v>
      </c>
      <c r="P23" s="94">
        <f t="shared" si="8"/>
        <v>0</v>
      </c>
      <c r="Q23" s="96">
        <f>IFERROR(P23*VLOOKUP(P23,CG!$B$16:$C$19,2,1),0)</f>
        <v>0</v>
      </c>
      <c r="R23" s="5">
        <f>(P23-Q23-S23)*VLOOKUP((P23-Q23-S23),CG!$E$16:$G$20,2,1)-VLOOKUP((P23-Q23-S23),CG!$E$16:$G$20,3,1)</f>
        <v>0</v>
      </c>
      <c r="S23" s="97"/>
      <c r="T23" s="97"/>
      <c r="U23" s="5">
        <f t="shared" si="4"/>
        <v>0</v>
      </c>
      <c r="V23" s="119"/>
      <c r="W23" s="120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</row>
    <row r="24" spans="2:37" ht="14.5">
      <c r="B24" s="4"/>
      <c r="C24" s="4"/>
      <c r="D24" s="4"/>
      <c r="E24" s="10"/>
      <c r="F24" s="10"/>
      <c r="G24" s="6"/>
      <c r="H24" s="4"/>
      <c r="I24" s="93"/>
      <c r="J24" s="93"/>
      <c r="K24" s="94">
        <f t="shared" si="5"/>
        <v>0</v>
      </c>
      <c r="L24" s="95"/>
      <c r="M24" s="94">
        <f t="shared" si="6"/>
        <v>0</v>
      </c>
      <c r="N24" s="95"/>
      <c r="O24" s="94">
        <f t="shared" si="7"/>
        <v>0</v>
      </c>
      <c r="P24" s="94">
        <f t="shared" si="8"/>
        <v>0</v>
      </c>
      <c r="Q24" s="96">
        <f>IFERROR(P24*VLOOKUP(P24,CG!$B$16:$C$19,2,1),0)</f>
        <v>0</v>
      </c>
      <c r="R24" s="5">
        <f>(P24-Q24-S24)*VLOOKUP((P24-Q24-S24),CG!$E$16:$G$20,2,1)-VLOOKUP((P24-Q24-S24),CG!$E$16:$G$20,3,1)</f>
        <v>0</v>
      </c>
      <c r="S24" s="97"/>
      <c r="T24" s="97"/>
      <c r="U24" s="5">
        <f t="shared" si="4"/>
        <v>0</v>
      </c>
      <c r="V24" s="119"/>
      <c r="W24" s="120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</row>
    <row r="25" spans="2:37" ht="14.5">
      <c r="B25" s="4"/>
      <c r="C25" s="4"/>
      <c r="D25" s="4"/>
      <c r="E25" s="10"/>
      <c r="F25" s="10"/>
      <c r="G25" s="6"/>
      <c r="H25" s="4"/>
      <c r="I25" s="93"/>
      <c r="J25" s="93"/>
      <c r="K25" s="94">
        <f t="shared" si="5"/>
        <v>0</v>
      </c>
      <c r="L25" s="95"/>
      <c r="M25" s="94">
        <f t="shared" si="6"/>
        <v>0</v>
      </c>
      <c r="N25" s="95"/>
      <c r="O25" s="94">
        <f t="shared" si="7"/>
        <v>0</v>
      </c>
      <c r="P25" s="94">
        <f t="shared" si="8"/>
        <v>0</v>
      </c>
      <c r="Q25" s="96">
        <f>IFERROR(P25*VLOOKUP(P25,CG!$B$16:$C$19,2,1),0)</f>
        <v>0</v>
      </c>
      <c r="R25" s="5">
        <f>(P25-Q25-S25)*VLOOKUP((P25-Q25-S25),CG!$E$16:$G$20,2,1)-VLOOKUP((P25-Q25-S25),CG!$E$16:$G$20,3,1)</f>
        <v>0</v>
      </c>
      <c r="S25" s="97"/>
      <c r="T25" s="97"/>
      <c r="U25" s="5">
        <f t="shared" si="4"/>
        <v>0</v>
      </c>
      <c r="V25" s="119"/>
      <c r="W25" s="120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</row>
    <row r="26" spans="2:37" ht="14.5">
      <c r="B26" s="4"/>
      <c r="C26" s="4"/>
      <c r="D26" s="4"/>
      <c r="E26" s="10"/>
      <c r="F26" s="10"/>
      <c r="G26" s="6"/>
      <c r="H26" s="4"/>
      <c r="I26" s="93"/>
      <c r="J26" s="93"/>
      <c r="K26" s="94">
        <f t="shared" si="5"/>
        <v>0</v>
      </c>
      <c r="L26" s="95"/>
      <c r="M26" s="94">
        <f t="shared" si="6"/>
        <v>0</v>
      </c>
      <c r="N26" s="95"/>
      <c r="O26" s="94">
        <f t="shared" si="7"/>
        <v>0</v>
      </c>
      <c r="P26" s="94">
        <f t="shared" si="8"/>
        <v>0</v>
      </c>
      <c r="Q26" s="96">
        <f>IFERROR(P26*VLOOKUP(P26,CG!$B$16:$C$19,2,1),0)</f>
        <v>0</v>
      </c>
      <c r="R26" s="5">
        <f>(P26-Q26-S26)*VLOOKUP((P26-Q26-S26),CG!$E$16:$G$20,2,1)-VLOOKUP((P26-Q26-S26),CG!$E$16:$G$20,3,1)</f>
        <v>0</v>
      </c>
      <c r="S26" s="97"/>
      <c r="T26" s="97"/>
      <c r="U26" s="5">
        <f t="shared" si="4"/>
        <v>0</v>
      </c>
      <c r="V26" s="119"/>
      <c r="W26" s="120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</row>
    <row r="27" spans="2:37" ht="14.5">
      <c r="B27" s="4"/>
      <c r="C27" s="4"/>
      <c r="D27" s="4"/>
      <c r="E27" s="10"/>
      <c r="F27" s="10"/>
      <c r="G27" s="6"/>
      <c r="H27" s="4"/>
      <c r="I27" s="93"/>
      <c r="J27" s="93"/>
      <c r="K27" s="94">
        <f t="shared" si="5"/>
        <v>0</v>
      </c>
      <c r="L27" s="95"/>
      <c r="M27" s="94">
        <f t="shared" si="6"/>
        <v>0</v>
      </c>
      <c r="N27" s="95"/>
      <c r="O27" s="94">
        <f t="shared" si="7"/>
        <v>0</v>
      </c>
      <c r="P27" s="94">
        <f t="shared" si="8"/>
        <v>0</v>
      </c>
      <c r="Q27" s="96">
        <f>IFERROR(P27*VLOOKUP(P27,CG!$B$16:$C$19,2,1),0)</f>
        <v>0</v>
      </c>
      <c r="R27" s="5">
        <f>(P27-Q27-S27)*VLOOKUP((P27-Q27-S27),CG!$E$16:$G$20,2,1)-VLOOKUP((P27-Q27-S27),CG!$E$16:$G$20,3,1)</f>
        <v>0</v>
      </c>
      <c r="S27" s="97"/>
      <c r="T27" s="97"/>
      <c r="U27" s="5">
        <f t="shared" si="4"/>
        <v>0</v>
      </c>
      <c r="V27" s="119"/>
      <c r="W27" s="120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</row>
    <row r="28" spans="2:37" ht="14.5">
      <c r="B28" s="4"/>
      <c r="C28" s="4"/>
      <c r="D28" s="4"/>
      <c r="E28" s="10"/>
      <c r="F28" s="10"/>
      <c r="G28" s="6"/>
      <c r="H28" s="4"/>
      <c r="I28" s="93"/>
      <c r="J28" s="93"/>
      <c r="K28" s="94">
        <f t="shared" si="5"/>
        <v>0</v>
      </c>
      <c r="L28" s="95"/>
      <c r="M28" s="94">
        <f t="shared" si="6"/>
        <v>0</v>
      </c>
      <c r="N28" s="95"/>
      <c r="O28" s="94">
        <f t="shared" si="7"/>
        <v>0</v>
      </c>
      <c r="P28" s="94">
        <f t="shared" si="8"/>
        <v>0</v>
      </c>
      <c r="Q28" s="96">
        <f>IFERROR(P28*VLOOKUP(P28,CG!$B$16:$C$19,2,1),0)</f>
        <v>0</v>
      </c>
      <c r="R28" s="5">
        <f>(P28-Q28-S28)*VLOOKUP((P28-Q28-S28),CG!$E$16:$G$20,2,1)-VLOOKUP((P28-Q28-S28),CG!$E$16:$G$20,3,1)</f>
        <v>0</v>
      </c>
      <c r="S28" s="97"/>
      <c r="T28" s="97"/>
      <c r="U28" s="5">
        <f t="shared" si="4"/>
        <v>0</v>
      </c>
      <c r="V28" s="119"/>
      <c r="W28" s="120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</row>
    <row r="29" spans="2:37" ht="14.5">
      <c r="B29" s="4"/>
      <c r="C29" s="4"/>
      <c r="D29" s="4"/>
      <c r="E29" s="10"/>
      <c r="F29" s="10"/>
      <c r="G29" s="6"/>
      <c r="H29" s="4"/>
      <c r="I29" s="93"/>
      <c r="J29" s="93"/>
      <c r="K29" s="94">
        <f t="shared" si="5"/>
        <v>0</v>
      </c>
      <c r="L29" s="95"/>
      <c r="M29" s="94">
        <f t="shared" si="6"/>
        <v>0</v>
      </c>
      <c r="N29" s="95"/>
      <c r="O29" s="94">
        <f t="shared" si="7"/>
        <v>0</v>
      </c>
      <c r="P29" s="94">
        <f t="shared" si="8"/>
        <v>0</v>
      </c>
      <c r="Q29" s="96">
        <f>IFERROR(P29*VLOOKUP(P29,CG!$B$16:$C$19,2,1),0)</f>
        <v>0</v>
      </c>
      <c r="R29" s="5">
        <f>(P29-Q29-S29)*VLOOKUP((P29-Q29-S29),CG!$E$16:$G$20,2,1)-VLOOKUP((P29-Q29-S29),CG!$E$16:$G$20,3,1)</f>
        <v>0</v>
      </c>
      <c r="S29" s="97"/>
      <c r="T29" s="97"/>
      <c r="U29" s="5">
        <f t="shared" si="4"/>
        <v>0</v>
      </c>
      <c r="V29" s="119"/>
      <c r="W29" s="120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</row>
    <row r="30" spans="2:37" ht="14.5">
      <c r="B30" s="4"/>
      <c r="C30" s="4"/>
      <c r="D30" s="4"/>
      <c r="E30" s="10"/>
      <c r="F30" s="10"/>
      <c r="G30" s="6"/>
      <c r="H30" s="4"/>
      <c r="I30" s="93"/>
      <c r="J30" s="93"/>
      <c r="K30" s="94">
        <f t="shared" si="5"/>
        <v>0</v>
      </c>
      <c r="L30" s="95"/>
      <c r="M30" s="94">
        <f t="shared" si="6"/>
        <v>0</v>
      </c>
      <c r="N30" s="95"/>
      <c r="O30" s="94">
        <f t="shared" si="7"/>
        <v>0</v>
      </c>
      <c r="P30" s="94">
        <f t="shared" si="8"/>
        <v>0</v>
      </c>
      <c r="Q30" s="96">
        <f>IFERROR(P30*VLOOKUP(P30,CG!$B$16:$C$19,2,1),0)</f>
        <v>0</v>
      </c>
      <c r="R30" s="5">
        <f>(P30-Q30-S30)*VLOOKUP((P30-Q30-S30),CG!$E$16:$G$20,2,1)-VLOOKUP((P30-Q30-S30),CG!$E$16:$G$20,3,1)</f>
        <v>0</v>
      </c>
      <c r="S30" s="97"/>
      <c r="T30" s="97"/>
      <c r="U30" s="5">
        <f t="shared" si="4"/>
        <v>0</v>
      </c>
      <c r="V30" s="119"/>
      <c r="W30" s="120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</row>
    <row r="31" spans="2:37" ht="14.5">
      <c r="B31" s="4"/>
      <c r="C31" s="4"/>
      <c r="D31" s="4"/>
      <c r="E31" s="10"/>
      <c r="F31" s="10"/>
      <c r="G31" s="6"/>
      <c r="H31" s="4"/>
      <c r="I31" s="93"/>
      <c r="J31" s="93"/>
      <c r="K31" s="94">
        <f t="shared" si="5"/>
        <v>0</v>
      </c>
      <c r="L31" s="95"/>
      <c r="M31" s="94">
        <f t="shared" si="6"/>
        <v>0</v>
      </c>
      <c r="N31" s="95"/>
      <c r="O31" s="94">
        <f t="shared" si="7"/>
        <v>0</v>
      </c>
      <c r="P31" s="94">
        <f t="shared" si="8"/>
        <v>0</v>
      </c>
      <c r="Q31" s="96">
        <f>IFERROR(P31*VLOOKUP(P31,CG!$B$16:$C$19,2,1),0)</f>
        <v>0</v>
      </c>
      <c r="R31" s="5">
        <f>(P31-Q31-S31)*VLOOKUP((P31-Q31-S31),CG!$E$16:$G$20,2,1)-VLOOKUP((P31-Q31-S31),CG!$E$16:$G$20,3,1)</f>
        <v>0</v>
      </c>
      <c r="S31" s="97"/>
      <c r="T31" s="97"/>
      <c r="U31" s="5">
        <f t="shared" si="4"/>
        <v>0</v>
      </c>
      <c r="V31" s="119"/>
      <c r="W31" s="120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</row>
    <row r="32" spans="2:37" ht="14.5">
      <c r="B32" s="4"/>
      <c r="C32" s="4"/>
      <c r="D32" s="4"/>
      <c r="E32" s="10"/>
      <c r="F32" s="10"/>
      <c r="G32" s="6"/>
      <c r="H32" s="4"/>
      <c r="I32" s="93"/>
      <c r="J32" s="93"/>
      <c r="K32" s="94">
        <f t="shared" si="5"/>
        <v>0</v>
      </c>
      <c r="L32" s="95"/>
      <c r="M32" s="94">
        <f t="shared" si="6"/>
        <v>0</v>
      </c>
      <c r="N32" s="95"/>
      <c r="O32" s="94">
        <f t="shared" si="7"/>
        <v>0</v>
      </c>
      <c r="P32" s="94">
        <f t="shared" si="8"/>
        <v>0</v>
      </c>
      <c r="Q32" s="96">
        <f>IFERROR(P32*VLOOKUP(P32,CG!$B$16:$C$19,2,1),0)</f>
        <v>0</v>
      </c>
      <c r="R32" s="5">
        <f>(P32-Q32-S32)*VLOOKUP((P32-Q32-S32),CG!$E$16:$G$20,2,1)-VLOOKUP((P32-Q32-S32),CG!$E$16:$G$20,3,1)</f>
        <v>0</v>
      </c>
      <c r="S32" s="97"/>
      <c r="T32" s="97"/>
      <c r="U32" s="5">
        <f t="shared" si="4"/>
        <v>0</v>
      </c>
      <c r="V32" s="119"/>
      <c r="W32" s="120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</row>
    <row r="33" spans="2:37" ht="14.5">
      <c r="B33" s="4"/>
      <c r="C33" s="4"/>
      <c r="D33" s="4"/>
      <c r="E33" s="10"/>
      <c r="F33" s="10"/>
      <c r="G33" s="6"/>
      <c r="H33" s="4"/>
      <c r="I33" s="93"/>
      <c r="J33" s="93"/>
      <c r="K33" s="94">
        <f t="shared" si="5"/>
        <v>0</v>
      </c>
      <c r="L33" s="95"/>
      <c r="M33" s="94">
        <f t="shared" si="6"/>
        <v>0</v>
      </c>
      <c r="N33" s="95"/>
      <c r="O33" s="94">
        <f t="shared" si="7"/>
        <v>0</v>
      </c>
      <c r="P33" s="94">
        <f t="shared" si="8"/>
        <v>0</v>
      </c>
      <c r="Q33" s="96">
        <f>IFERROR(P33*VLOOKUP(P33,CG!$B$16:$C$19,2,1),0)</f>
        <v>0</v>
      </c>
      <c r="R33" s="5">
        <f>(P33-Q33-S33)*VLOOKUP((P33-Q33-S33),CG!$E$16:$G$20,2,1)-VLOOKUP((P33-Q33-S33),CG!$E$16:$G$20,3,1)</f>
        <v>0</v>
      </c>
      <c r="S33" s="97"/>
      <c r="T33" s="97"/>
      <c r="U33" s="5">
        <f t="shared" si="4"/>
        <v>0</v>
      </c>
      <c r="V33" s="119"/>
      <c r="W33" s="120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</row>
    <row r="34" spans="2:37" ht="14.5" customHeight="1">
      <c r="B34" s="4"/>
      <c r="C34" s="4"/>
      <c r="D34" s="4"/>
      <c r="E34" s="10"/>
      <c r="F34" s="10"/>
      <c r="G34" s="6"/>
      <c r="H34" s="4"/>
      <c r="I34" s="93"/>
      <c r="J34" s="93"/>
      <c r="K34" s="94">
        <f t="shared" si="5"/>
        <v>0</v>
      </c>
      <c r="L34" s="95"/>
      <c r="M34" s="94">
        <f t="shared" si="6"/>
        <v>0</v>
      </c>
      <c r="N34" s="95"/>
      <c r="O34" s="94">
        <f t="shared" si="7"/>
        <v>0</v>
      </c>
      <c r="P34" s="94">
        <f t="shared" si="8"/>
        <v>0</v>
      </c>
      <c r="Q34" s="96">
        <f>IFERROR(P34*VLOOKUP(P34,CG!$B$16:$C$19,2,1),0)</f>
        <v>0</v>
      </c>
      <c r="R34" s="5">
        <f>(P34-Q34-S34)*VLOOKUP((P34-Q34-S34),CG!$E$16:$G$20,2,1)-VLOOKUP((P34-Q34-S34),CG!$E$16:$G$20,3,1)</f>
        <v>0</v>
      </c>
      <c r="S34" s="97"/>
      <c r="T34" s="97"/>
      <c r="U34" s="5">
        <f t="shared" si="4"/>
        <v>0</v>
      </c>
      <c r="V34" s="119"/>
      <c r="W34" s="120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</row>
    <row r="35" spans="2:37" ht="14.5" customHeight="1">
      <c r="B35" s="4"/>
      <c r="C35" s="4"/>
      <c r="D35" s="4"/>
      <c r="E35" s="10"/>
      <c r="F35" s="10"/>
      <c r="G35" s="6"/>
      <c r="H35" s="4"/>
      <c r="I35" s="93"/>
      <c r="J35" s="93"/>
      <c r="K35" s="94">
        <f t="shared" si="5"/>
        <v>0</v>
      </c>
      <c r="L35" s="95"/>
      <c r="M35" s="94">
        <f t="shared" si="6"/>
        <v>0</v>
      </c>
      <c r="N35" s="95"/>
      <c r="O35" s="94">
        <f t="shared" si="7"/>
        <v>0</v>
      </c>
      <c r="P35" s="94">
        <f t="shared" si="8"/>
        <v>0</v>
      </c>
      <c r="Q35" s="96">
        <f>IFERROR(P35*VLOOKUP(P35,CG!$B$16:$C$19,2,1),0)</f>
        <v>0</v>
      </c>
      <c r="R35" s="5">
        <f>(P35-Q35-S35)*VLOOKUP((P35-Q35-S35),CG!$E$16:$G$20,2,1)-VLOOKUP((P35-Q35-S35),CG!$E$16:$G$20,3,1)</f>
        <v>0</v>
      </c>
      <c r="S35" s="97"/>
      <c r="T35" s="97"/>
      <c r="U35" s="5">
        <f t="shared" si="4"/>
        <v>0</v>
      </c>
      <c r="V35" s="119"/>
      <c r="W35" s="120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</row>
    <row r="36" spans="2:37" ht="14.5" customHeight="1">
      <c r="B36" s="4"/>
      <c r="C36" s="4"/>
      <c r="D36" s="4"/>
      <c r="E36" s="10"/>
      <c r="F36" s="10"/>
      <c r="G36" s="6"/>
      <c r="H36" s="4"/>
      <c r="I36" s="93"/>
      <c r="J36" s="93"/>
      <c r="K36" s="94">
        <f t="shared" si="5"/>
        <v>0</v>
      </c>
      <c r="L36" s="95"/>
      <c r="M36" s="94">
        <f t="shared" si="6"/>
        <v>0</v>
      </c>
      <c r="N36" s="95"/>
      <c r="O36" s="94">
        <f t="shared" si="7"/>
        <v>0</v>
      </c>
      <c r="P36" s="94">
        <f t="shared" si="8"/>
        <v>0</v>
      </c>
      <c r="Q36" s="96">
        <f>IFERROR(P36*VLOOKUP(P36,CG!$B$16:$C$19,2,1),0)</f>
        <v>0</v>
      </c>
      <c r="R36" s="5">
        <f>(P36-Q36-S36)*VLOOKUP((P36-Q36-S36),CG!$E$16:$G$20,2,1)-VLOOKUP((P36-Q36-S36),CG!$E$16:$G$20,3,1)</f>
        <v>0</v>
      </c>
      <c r="S36" s="97"/>
      <c r="T36" s="97"/>
      <c r="U36" s="5">
        <f t="shared" si="4"/>
        <v>0</v>
      </c>
      <c r="V36" s="119"/>
      <c r="W36" s="120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</row>
    <row r="37" spans="2:37" ht="14.5" customHeight="1">
      <c r="B37" s="4"/>
      <c r="C37" s="4"/>
      <c r="D37" s="4"/>
      <c r="E37" s="10"/>
      <c r="F37" s="10"/>
      <c r="G37" s="6"/>
      <c r="H37" s="4"/>
      <c r="I37" s="93"/>
      <c r="J37" s="93"/>
      <c r="K37" s="94">
        <f t="shared" si="5"/>
        <v>0</v>
      </c>
      <c r="L37" s="95"/>
      <c r="M37" s="94">
        <f t="shared" si="6"/>
        <v>0</v>
      </c>
      <c r="N37" s="95"/>
      <c r="O37" s="94">
        <f t="shared" si="7"/>
        <v>0</v>
      </c>
      <c r="P37" s="94">
        <f t="shared" si="8"/>
        <v>0</v>
      </c>
      <c r="Q37" s="96">
        <f>IFERROR(P37*VLOOKUP(P37,CG!$B$16:$C$19,2,1),0)</f>
        <v>0</v>
      </c>
      <c r="R37" s="5">
        <f>(P37-Q37-S37)*VLOOKUP((P37-Q37-S37),CG!$E$16:$G$20,2,1)-VLOOKUP((P37-Q37-S37),CG!$E$16:$G$20,3,1)</f>
        <v>0</v>
      </c>
      <c r="S37" s="97"/>
      <c r="T37" s="97"/>
      <c r="U37" s="5">
        <f t="shared" si="4"/>
        <v>0</v>
      </c>
      <c r="V37" s="119"/>
      <c r="W37" s="120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</row>
    <row r="38" spans="2:37" ht="14.5" customHeight="1">
      <c r="B38" s="4"/>
      <c r="C38" s="4"/>
      <c r="D38" s="4"/>
      <c r="E38" s="10"/>
      <c r="F38" s="10"/>
      <c r="G38" s="6"/>
      <c r="H38" s="4"/>
      <c r="I38" s="93"/>
      <c r="J38" s="93"/>
      <c r="K38" s="94">
        <f t="shared" si="5"/>
        <v>0</v>
      </c>
      <c r="L38" s="95"/>
      <c r="M38" s="94">
        <f t="shared" si="6"/>
        <v>0</v>
      </c>
      <c r="N38" s="95"/>
      <c r="O38" s="94">
        <f t="shared" si="7"/>
        <v>0</v>
      </c>
      <c r="P38" s="94">
        <f t="shared" si="8"/>
        <v>0</v>
      </c>
      <c r="Q38" s="96">
        <f>IFERROR(P38*VLOOKUP(P38,CG!$B$16:$C$19,2,1),0)</f>
        <v>0</v>
      </c>
      <c r="R38" s="5">
        <f>(P38-Q38-S38)*VLOOKUP((P38-Q38-S38),CG!$E$16:$G$20,2,1)-VLOOKUP((P38-Q38-S38),CG!$E$16:$G$20,3,1)</f>
        <v>0</v>
      </c>
      <c r="S38" s="97"/>
      <c r="T38" s="97"/>
      <c r="U38" s="5">
        <f t="shared" si="4"/>
        <v>0</v>
      </c>
      <c r="V38" s="119"/>
      <c r="W38" s="120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</row>
    <row r="39" spans="2:37" ht="14.5" customHeight="1">
      <c r="B39" s="4"/>
      <c r="C39" s="4"/>
      <c r="D39" s="4"/>
      <c r="E39" s="10"/>
      <c r="F39" s="10"/>
      <c r="G39" s="6"/>
      <c r="H39" s="4"/>
      <c r="I39" s="93"/>
      <c r="J39" s="93"/>
      <c r="K39" s="94">
        <f t="shared" si="5"/>
        <v>0</v>
      </c>
      <c r="L39" s="95"/>
      <c r="M39" s="94">
        <f t="shared" si="6"/>
        <v>0</v>
      </c>
      <c r="N39" s="95"/>
      <c r="O39" s="94">
        <f t="shared" si="7"/>
        <v>0</v>
      </c>
      <c r="P39" s="94">
        <f t="shared" si="8"/>
        <v>0</v>
      </c>
      <c r="Q39" s="96">
        <f>IFERROR(P39*VLOOKUP(P39,CG!$B$16:$C$19,2,1),0)</f>
        <v>0</v>
      </c>
      <c r="R39" s="5">
        <f>(P39-Q39-S39)*VLOOKUP((P39-Q39-S39),CG!$E$16:$G$20,2,1)-VLOOKUP((P39-Q39-S39),CG!$E$16:$G$20,3,1)</f>
        <v>0</v>
      </c>
      <c r="S39" s="97"/>
      <c r="T39" s="97"/>
      <c r="U39" s="5">
        <f t="shared" si="4"/>
        <v>0</v>
      </c>
      <c r="V39" s="119"/>
      <c r="W39" s="120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</row>
    <row r="40" spans="2:37" ht="14.5" customHeight="1">
      <c r="B40" s="4"/>
      <c r="C40" s="4"/>
      <c r="D40" s="4"/>
      <c r="E40" s="10"/>
      <c r="F40" s="10"/>
      <c r="G40" s="6"/>
      <c r="H40" s="4"/>
      <c r="I40" s="93"/>
      <c r="J40" s="93"/>
      <c r="K40" s="94">
        <f t="shared" si="5"/>
        <v>0</v>
      </c>
      <c r="L40" s="95"/>
      <c r="M40" s="94">
        <f t="shared" si="6"/>
        <v>0</v>
      </c>
      <c r="N40" s="95"/>
      <c r="O40" s="94">
        <f t="shared" si="7"/>
        <v>0</v>
      </c>
      <c r="P40" s="94">
        <f t="shared" si="8"/>
        <v>0</v>
      </c>
      <c r="Q40" s="96">
        <f>IFERROR(P40*VLOOKUP(P40,CG!$B$16:$C$19,2,1),0)</f>
        <v>0</v>
      </c>
      <c r="R40" s="5">
        <f>(P40-Q40-S40)*VLOOKUP((P40-Q40-S40),CG!$E$16:$G$20,2,1)-VLOOKUP((P40-Q40-S40),CG!$E$16:$G$20,3,1)</f>
        <v>0</v>
      </c>
      <c r="S40" s="97"/>
      <c r="T40" s="97"/>
      <c r="U40" s="5">
        <f t="shared" si="4"/>
        <v>0</v>
      </c>
      <c r="V40" s="119"/>
      <c r="W40" s="120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</row>
    <row r="41" spans="2:37" ht="14.5" customHeight="1">
      <c r="B41" s="4"/>
      <c r="C41" s="4"/>
      <c r="D41" s="4"/>
      <c r="E41" s="10"/>
      <c r="F41" s="10"/>
      <c r="G41" s="6"/>
      <c r="H41" s="4"/>
      <c r="I41" s="93"/>
      <c r="J41" s="93"/>
      <c r="K41" s="94">
        <f t="shared" si="5"/>
        <v>0</v>
      </c>
      <c r="L41" s="95"/>
      <c r="M41" s="94">
        <f t="shared" si="6"/>
        <v>0</v>
      </c>
      <c r="N41" s="95"/>
      <c r="O41" s="94">
        <f t="shared" si="7"/>
        <v>0</v>
      </c>
      <c r="P41" s="94">
        <f t="shared" si="8"/>
        <v>0</v>
      </c>
      <c r="Q41" s="96">
        <f>IFERROR(P41*VLOOKUP(P41,CG!$B$16:$C$19,2,1),0)</f>
        <v>0</v>
      </c>
      <c r="R41" s="5">
        <f>(P41-Q41-S41)*VLOOKUP((P41-Q41-S41),CG!$E$16:$G$20,2,1)-VLOOKUP((P41-Q41-S41),CG!$E$16:$G$20,3,1)</f>
        <v>0</v>
      </c>
      <c r="S41" s="97"/>
      <c r="T41" s="97"/>
      <c r="U41" s="5">
        <f t="shared" si="4"/>
        <v>0</v>
      </c>
      <c r="V41" s="119"/>
      <c r="W41" s="120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</row>
    <row r="42" spans="2:37" ht="14.5" customHeight="1">
      <c r="B42" s="4"/>
      <c r="C42" s="4"/>
      <c r="D42" s="4"/>
      <c r="E42" s="10"/>
      <c r="F42" s="10"/>
      <c r="G42" s="6"/>
      <c r="H42" s="4"/>
      <c r="I42" s="93"/>
      <c r="J42" s="93"/>
      <c r="K42" s="94">
        <f t="shared" si="5"/>
        <v>0</v>
      </c>
      <c r="L42" s="95"/>
      <c r="M42" s="94">
        <f t="shared" si="6"/>
        <v>0</v>
      </c>
      <c r="N42" s="95"/>
      <c r="O42" s="94">
        <f t="shared" si="7"/>
        <v>0</v>
      </c>
      <c r="P42" s="94">
        <f t="shared" si="8"/>
        <v>0</v>
      </c>
      <c r="Q42" s="96">
        <f>IFERROR(P42*VLOOKUP(P42,CG!$B$16:$C$19,2,1),0)</f>
        <v>0</v>
      </c>
      <c r="R42" s="5">
        <f>(P42-Q42-S42)*VLOOKUP((P42-Q42-S42),CG!$E$16:$G$20,2,1)-VLOOKUP((P42-Q42-S42),CG!$E$16:$G$20,3,1)</f>
        <v>0</v>
      </c>
      <c r="S42" s="97"/>
      <c r="T42" s="97"/>
      <c r="U42" s="5">
        <f t="shared" si="4"/>
        <v>0</v>
      </c>
      <c r="V42" s="119"/>
      <c r="W42" s="120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</row>
    <row r="43" spans="2:37" ht="14.5" customHeight="1">
      <c r="B43" s="4"/>
      <c r="C43" s="4"/>
      <c r="D43" s="4"/>
      <c r="E43" s="10"/>
      <c r="F43" s="10"/>
      <c r="G43" s="6"/>
      <c r="H43" s="4"/>
      <c r="I43" s="93"/>
      <c r="J43" s="93"/>
      <c r="K43" s="94">
        <f t="shared" si="5"/>
        <v>0</v>
      </c>
      <c r="L43" s="95"/>
      <c r="M43" s="94">
        <f t="shared" si="6"/>
        <v>0</v>
      </c>
      <c r="N43" s="95"/>
      <c r="O43" s="94">
        <f t="shared" si="7"/>
        <v>0</v>
      </c>
      <c r="P43" s="94">
        <f t="shared" si="8"/>
        <v>0</v>
      </c>
      <c r="Q43" s="96">
        <f>IFERROR(P43*VLOOKUP(P43,CG!$B$16:$C$19,2,1),0)</f>
        <v>0</v>
      </c>
      <c r="R43" s="5">
        <f>(P43-Q43-S43)*VLOOKUP((P43-Q43-S43),CG!$E$16:$G$20,2,1)-VLOOKUP((P43-Q43-S43),CG!$E$16:$G$20,3,1)</f>
        <v>0</v>
      </c>
      <c r="S43" s="97"/>
      <c r="T43" s="97"/>
      <c r="U43" s="5">
        <f t="shared" si="4"/>
        <v>0</v>
      </c>
      <c r="V43" s="119"/>
      <c r="W43" s="120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</row>
    <row r="44" spans="2:37" ht="14.5" customHeight="1">
      <c r="B44" s="4"/>
      <c r="C44" s="4"/>
      <c r="D44" s="4"/>
      <c r="E44" s="10"/>
      <c r="F44" s="10"/>
      <c r="G44" s="6"/>
      <c r="H44" s="4"/>
      <c r="I44" s="93"/>
      <c r="J44" s="93"/>
      <c r="K44" s="94">
        <f t="shared" si="5"/>
        <v>0</v>
      </c>
      <c r="L44" s="95"/>
      <c r="M44" s="94">
        <f t="shared" si="6"/>
        <v>0</v>
      </c>
      <c r="N44" s="95"/>
      <c r="O44" s="94">
        <f t="shared" si="7"/>
        <v>0</v>
      </c>
      <c r="P44" s="94">
        <f t="shared" si="8"/>
        <v>0</v>
      </c>
      <c r="Q44" s="96">
        <f>IFERROR(P44*VLOOKUP(P44,CG!$B$16:$C$19,2,1),0)</f>
        <v>0</v>
      </c>
      <c r="R44" s="5">
        <f>(P44-Q44-S44)*VLOOKUP((P44-Q44-S44),CG!$E$16:$G$20,2,1)-VLOOKUP((P44-Q44-S44),CG!$E$16:$G$20,3,1)</f>
        <v>0</v>
      </c>
      <c r="S44" s="97"/>
      <c r="T44" s="97"/>
      <c r="U44" s="5">
        <f t="shared" si="4"/>
        <v>0</v>
      </c>
      <c r="V44" s="119"/>
      <c r="W44" s="120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</row>
    <row r="45" spans="2:37" ht="14.5" customHeight="1">
      <c r="B45" s="4"/>
      <c r="C45" s="4"/>
      <c r="D45" s="4"/>
      <c r="E45" s="10"/>
      <c r="F45" s="10"/>
      <c r="G45" s="6"/>
      <c r="H45" s="4"/>
      <c r="I45" s="93"/>
      <c r="J45" s="93"/>
      <c r="K45" s="94">
        <f t="shared" si="5"/>
        <v>0</v>
      </c>
      <c r="L45" s="95"/>
      <c r="M45" s="94">
        <f t="shared" si="6"/>
        <v>0</v>
      </c>
      <c r="N45" s="95"/>
      <c r="O45" s="94">
        <f t="shared" si="7"/>
        <v>0</v>
      </c>
      <c r="P45" s="94">
        <f t="shared" si="8"/>
        <v>0</v>
      </c>
      <c r="Q45" s="96">
        <f>IFERROR(P45*VLOOKUP(P45,CG!$B$16:$C$19,2,1),0)</f>
        <v>0</v>
      </c>
      <c r="R45" s="5">
        <f>(P45-Q45-S45)*VLOOKUP((P45-Q45-S45),CG!$E$16:$G$20,2,1)-VLOOKUP((P45-Q45-S45),CG!$E$16:$G$20,3,1)</f>
        <v>0</v>
      </c>
      <c r="S45" s="97"/>
      <c r="T45" s="97"/>
      <c r="U45" s="5">
        <f t="shared" si="4"/>
        <v>0</v>
      </c>
      <c r="V45" s="119"/>
      <c r="W45" s="120"/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</row>
    <row r="46" spans="2:37" ht="14.5" customHeight="1">
      <c r="B46" s="4"/>
      <c r="C46" s="4"/>
      <c r="D46" s="4"/>
      <c r="E46" s="10"/>
      <c r="F46" s="10"/>
      <c r="G46" s="6"/>
      <c r="H46" s="4"/>
      <c r="I46" s="93"/>
      <c r="J46" s="93"/>
      <c r="K46" s="94">
        <f t="shared" si="5"/>
        <v>0</v>
      </c>
      <c r="L46" s="95"/>
      <c r="M46" s="94">
        <f t="shared" si="6"/>
        <v>0</v>
      </c>
      <c r="N46" s="95"/>
      <c r="O46" s="94">
        <f t="shared" si="7"/>
        <v>0</v>
      </c>
      <c r="P46" s="94">
        <f t="shared" si="8"/>
        <v>0</v>
      </c>
      <c r="Q46" s="96">
        <f>IFERROR(P46*VLOOKUP(P46,CG!$B$16:$C$19,2,1),0)</f>
        <v>0</v>
      </c>
      <c r="R46" s="5">
        <f>(P46-Q46-S46)*VLOOKUP((P46-Q46-S46),CG!$E$16:$G$20,2,1)-VLOOKUP((P46-Q46-S46),CG!$E$16:$G$20,3,1)</f>
        <v>0</v>
      </c>
      <c r="S46" s="97"/>
      <c r="T46" s="97"/>
      <c r="U46" s="5">
        <f t="shared" si="4"/>
        <v>0</v>
      </c>
      <c r="V46" s="119"/>
      <c r="W46" s="120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</row>
    <row r="47" spans="2:37" ht="14.5" customHeight="1">
      <c r="B47" s="4"/>
      <c r="C47" s="4"/>
      <c r="D47" s="4"/>
      <c r="E47" s="10"/>
      <c r="F47" s="10"/>
      <c r="G47" s="6"/>
      <c r="H47" s="4"/>
      <c r="I47" s="93"/>
      <c r="J47" s="93"/>
      <c r="K47" s="94">
        <f t="shared" si="5"/>
        <v>0</v>
      </c>
      <c r="L47" s="95"/>
      <c r="M47" s="94">
        <f t="shared" si="6"/>
        <v>0</v>
      </c>
      <c r="N47" s="95"/>
      <c r="O47" s="94">
        <f t="shared" si="7"/>
        <v>0</v>
      </c>
      <c r="P47" s="94">
        <f t="shared" si="8"/>
        <v>0</v>
      </c>
      <c r="Q47" s="96">
        <f>IFERROR(P47*VLOOKUP(P47,CG!$B$16:$C$19,2,1),0)</f>
        <v>0</v>
      </c>
      <c r="R47" s="5">
        <f>(P47-Q47-S47)*VLOOKUP((P47-Q47-S47),CG!$E$16:$G$20,2,1)-VLOOKUP((P47-Q47-S47),CG!$E$16:$G$20,3,1)</f>
        <v>0</v>
      </c>
      <c r="S47" s="97"/>
      <c r="T47" s="97"/>
      <c r="U47" s="5">
        <f t="shared" si="4"/>
        <v>0</v>
      </c>
      <c r="V47" s="119"/>
      <c r="W47" s="120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</row>
    <row r="48" spans="2:37" ht="14.5" customHeight="1">
      <c r="B48" s="4"/>
      <c r="C48" s="4"/>
      <c r="D48" s="4"/>
      <c r="E48" s="10"/>
      <c r="F48" s="10"/>
      <c r="G48" s="6"/>
      <c r="H48" s="4"/>
      <c r="I48" s="93"/>
      <c r="J48" s="93"/>
      <c r="K48" s="94">
        <f t="shared" si="5"/>
        <v>0</v>
      </c>
      <c r="L48" s="95"/>
      <c r="M48" s="94">
        <f t="shared" si="6"/>
        <v>0</v>
      </c>
      <c r="N48" s="95"/>
      <c r="O48" s="94">
        <f t="shared" si="7"/>
        <v>0</v>
      </c>
      <c r="P48" s="94">
        <f t="shared" si="8"/>
        <v>0</v>
      </c>
      <c r="Q48" s="96">
        <f>IFERROR(P48*VLOOKUP(P48,CG!$B$16:$C$19,2,1),0)</f>
        <v>0</v>
      </c>
      <c r="R48" s="5">
        <f>(P48-Q48-S48)*VLOOKUP((P48-Q48-S48),CG!$E$16:$G$20,2,1)-VLOOKUP((P48-Q48-S48),CG!$E$16:$G$20,3,1)</f>
        <v>0</v>
      </c>
      <c r="S48" s="97"/>
      <c r="T48" s="97"/>
      <c r="U48" s="5">
        <f t="shared" si="4"/>
        <v>0</v>
      </c>
      <c r="V48" s="119"/>
      <c r="W48" s="120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</row>
    <row r="49" spans="2:37" ht="14.5" customHeight="1">
      <c r="B49" s="4"/>
      <c r="C49" s="4"/>
      <c r="D49" s="4"/>
      <c r="E49" s="10"/>
      <c r="F49" s="10"/>
      <c r="G49" s="6"/>
      <c r="H49" s="4"/>
      <c r="I49" s="93"/>
      <c r="J49" s="93"/>
      <c r="K49" s="94">
        <f t="shared" si="5"/>
        <v>0</v>
      </c>
      <c r="L49" s="95"/>
      <c r="M49" s="94">
        <f t="shared" si="6"/>
        <v>0</v>
      </c>
      <c r="N49" s="95"/>
      <c r="O49" s="94">
        <f t="shared" si="7"/>
        <v>0</v>
      </c>
      <c r="P49" s="94">
        <f t="shared" si="8"/>
        <v>0</v>
      </c>
      <c r="Q49" s="96">
        <f>IFERROR(P49*VLOOKUP(P49,CG!$B$16:$C$19,2,1),0)</f>
        <v>0</v>
      </c>
      <c r="R49" s="5">
        <f>(P49-Q49-S49)*VLOOKUP((P49-Q49-S49),CG!$E$16:$G$20,2,1)-VLOOKUP((P49-Q49-S49),CG!$E$16:$G$20,3,1)</f>
        <v>0</v>
      </c>
      <c r="S49" s="97"/>
      <c r="T49" s="97"/>
      <c r="U49" s="5">
        <f t="shared" si="4"/>
        <v>0</v>
      </c>
      <c r="V49" s="119"/>
      <c r="W49" s="120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</row>
    <row r="50" spans="2:37" ht="14.5" customHeight="1">
      <c r="B50" s="4"/>
      <c r="C50" s="4"/>
      <c r="D50" s="4"/>
      <c r="E50" s="10"/>
      <c r="F50" s="10"/>
      <c r="G50" s="6"/>
      <c r="H50" s="4"/>
      <c r="I50" s="93"/>
      <c r="J50" s="93"/>
      <c r="K50" s="94">
        <f t="shared" si="5"/>
        <v>0</v>
      </c>
      <c r="L50" s="95"/>
      <c r="M50" s="94">
        <f t="shared" si="6"/>
        <v>0</v>
      </c>
      <c r="N50" s="95"/>
      <c r="O50" s="94">
        <f t="shared" si="7"/>
        <v>0</v>
      </c>
      <c r="P50" s="94">
        <f t="shared" si="8"/>
        <v>0</v>
      </c>
      <c r="Q50" s="96">
        <f>IFERROR(P50*VLOOKUP(P50,CG!$B$16:$C$19,2,1),0)</f>
        <v>0</v>
      </c>
      <c r="R50" s="5">
        <f>(P50-Q50-S50)*VLOOKUP((P50-Q50-S50),CG!$E$16:$G$20,2,1)-VLOOKUP((P50-Q50-S50),CG!$E$16:$G$20,3,1)</f>
        <v>0</v>
      </c>
      <c r="S50" s="97"/>
      <c r="T50" s="97"/>
      <c r="U50" s="5">
        <f t="shared" si="4"/>
        <v>0</v>
      </c>
      <c r="V50" s="119"/>
      <c r="W50" s="120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</row>
    <row r="51" spans="2:37" ht="14.5" customHeight="1">
      <c r="B51" s="4"/>
      <c r="C51" s="4"/>
      <c r="D51" s="4"/>
      <c r="E51" s="10"/>
      <c r="F51" s="10"/>
      <c r="G51" s="6"/>
      <c r="H51" s="4"/>
      <c r="I51" s="93"/>
      <c r="J51" s="93"/>
      <c r="K51" s="94">
        <f t="shared" si="5"/>
        <v>0</v>
      </c>
      <c r="L51" s="95"/>
      <c r="M51" s="94">
        <f t="shared" si="6"/>
        <v>0</v>
      </c>
      <c r="N51" s="95"/>
      <c r="O51" s="94">
        <f t="shared" si="7"/>
        <v>0</v>
      </c>
      <c r="P51" s="94">
        <f t="shared" si="8"/>
        <v>0</v>
      </c>
      <c r="Q51" s="96">
        <f>IFERROR(P51*VLOOKUP(P51,CG!$B$16:$C$19,2,1),0)</f>
        <v>0</v>
      </c>
      <c r="R51" s="5">
        <f>(P51-Q51-S51)*VLOOKUP((P51-Q51-S51),CG!$E$16:$G$20,2,1)-VLOOKUP((P51-Q51-S51),CG!$E$16:$G$20,3,1)</f>
        <v>0</v>
      </c>
      <c r="S51" s="97"/>
      <c r="T51" s="97"/>
      <c r="U51" s="5">
        <f t="shared" si="4"/>
        <v>0</v>
      </c>
      <c r="V51" s="119"/>
      <c r="W51" s="120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</row>
    <row r="52" spans="2:37" ht="14.5" customHeight="1">
      <c r="B52" s="4"/>
      <c r="C52" s="4"/>
      <c r="D52" s="4"/>
      <c r="E52" s="10"/>
      <c r="F52" s="10"/>
      <c r="G52" s="6"/>
      <c r="H52" s="4"/>
      <c r="I52" s="93"/>
      <c r="J52" s="93"/>
      <c r="K52" s="94">
        <f t="shared" si="5"/>
        <v>0</v>
      </c>
      <c r="L52" s="95"/>
      <c r="M52" s="94">
        <f t="shared" si="6"/>
        <v>0</v>
      </c>
      <c r="N52" s="95"/>
      <c r="O52" s="94">
        <f t="shared" si="7"/>
        <v>0</v>
      </c>
      <c r="P52" s="94">
        <f t="shared" si="8"/>
        <v>0</v>
      </c>
      <c r="Q52" s="96">
        <f>IFERROR(P52*VLOOKUP(P52,CG!$B$16:$C$19,2,1),0)</f>
        <v>0</v>
      </c>
      <c r="R52" s="5">
        <f>(P52-Q52-S52)*VLOOKUP((P52-Q52-S52),CG!$E$16:$G$20,2,1)-VLOOKUP((P52-Q52-S52),CG!$E$16:$G$20,3,1)</f>
        <v>0</v>
      </c>
      <c r="S52" s="97"/>
      <c r="T52" s="97"/>
      <c r="U52" s="5">
        <f t="shared" si="4"/>
        <v>0</v>
      </c>
      <c r="V52" s="119"/>
      <c r="W52" s="120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</row>
    <row r="53" spans="2:37" ht="14.5" customHeight="1">
      <c r="B53" s="4"/>
      <c r="C53" s="4"/>
      <c r="D53" s="4"/>
      <c r="E53" s="10"/>
      <c r="F53" s="10"/>
      <c r="G53" s="6"/>
      <c r="H53" s="4"/>
      <c r="I53" s="93"/>
      <c r="J53" s="93"/>
      <c r="K53" s="94">
        <f t="shared" si="5"/>
        <v>0</v>
      </c>
      <c r="L53" s="95"/>
      <c r="M53" s="94">
        <f t="shared" si="6"/>
        <v>0</v>
      </c>
      <c r="N53" s="95"/>
      <c r="O53" s="94">
        <f t="shared" si="7"/>
        <v>0</v>
      </c>
      <c r="P53" s="94">
        <f t="shared" si="8"/>
        <v>0</v>
      </c>
      <c r="Q53" s="96">
        <f>IFERROR(P53*VLOOKUP(P53,CG!$B$16:$C$19,2,1),0)</f>
        <v>0</v>
      </c>
      <c r="R53" s="5">
        <f>(P53-Q53-S53)*VLOOKUP((P53-Q53-S53),CG!$E$16:$G$20,2,1)-VLOOKUP((P53-Q53-S53),CG!$E$16:$G$20,3,1)</f>
        <v>0</v>
      </c>
      <c r="S53" s="97"/>
      <c r="T53" s="97"/>
      <c r="U53" s="5">
        <f t="shared" si="4"/>
        <v>0</v>
      </c>
      <c r="V53" s="119"/>
      <c r="W53" s="120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</row>
    <row r="54" spans="2:37" ht="14.5" customHeight="1">
      <c r="B54" s="4"/>
      <c r="C54" s="4"/>
      <c r="D54" s="4"/>
      <c r="E54" s="10"/>
      <c r="F54" s="10"/>
      <c r="G54" s="6"/>
      <c r="H54" s="4"/>
      <c r="I54" s="93"/>
      <c r="J54" s="93"/>
      <c r="K54" s="94">
        <f t="shared" si="5"/>
        <v>0</v>
      </c>
      <c r="L54" s="95"/>
      <c r="M54" s="94">
        <f t="shared" si="6"/>
        <v>0</v>
      </c>
      <c r="N54" s="95"/>
      <c r="O54" s="94">
        <f t="shared" si="7"/>
        <v>0</v>
      </c>
      <c r="P54" s="94">
        <f t="shared" si="8"/>
        <v>0</v>
      </c>
      <c r="Q54" s="96">
        <f>IFERROR(P54*VLOOKUP(P54,CG!$B$16:$C$19,2,1),0)</f>
        <v>0</v>
      </c>
      <c r="R54" s="5">
        <f>(P54-Q54-S54)*VLOOKUP((P54-Q54-S54),CG!$E$16:$G$20,2,1)-VLOOKUP((P54-Q54-S54),CG!$E$16:$G$20,3,1)</f>
        <v>0</v>
      </c>
      <c r="S54" s="97"/>
      <c r="T54" s="97"/>
      <c r="U54" s="5">
        <f t="shared" si="4"/>
        <v>0</v>
      </c>
      <c r="V54" s="119"/>
      <c r="W54" s="120"/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</row>
    <row r="55" spans="2:37" ht="14.5" customHeight="1">
      <c r="B55" s="4"/>
      <c r="C55" s="4"/>
      <c r="D55" s="4"/>
      <c r="E55" s="10"/>
      <c r="F55" s="10"/>
      <c r="G55" s="6"/>
      <c r="H55" s="4"/>
      <c r="I55" s="93"/>
      <c r="J55" s="93"/>
      <c r="K55" s="94">
        <f t="shared" si="5"/>
        <v>0</v>
      </c>
      <c r="L55" s="95"/>
      <c r="M55" s="94">
        <f t="shared" si="6"/>
        <v>0</v>
      </c>
      <c r="N55" s="95"/>
      <c r="O55" s="94">
        <f t="shared" si="7"/>
        <v>0</v>
      </c>
      <c r="P55" s="94">
        <f t="shared" si="8"/>
        <v>0</v>
      </c>
      <c r="Q55" s="96">
        <f>IFERROR(P55*VLOOKUP(P55,CG!$B$16:$C$19,2,1),0)</f>
        <v>0</v>
      </c>
      <c r="R55" s="5">
        <f>(P55-Q55-S55)*VLOOKUP((P55-Q55-S55),CG!$E$16:$G$20,2,1)-VLOOKUP((P55-Q55-S55),CG!$E$16:$G$20,3,1)</f>
        <v>0</v>
      </c>
      <c r="S55" s="97"/>
      <c r="T55" s="97"/>
      <c r="U55" s="5">
        <f t="shared" si="4"/>
        <v>0</v>
      </c>
      <c r="V55" s="119"/>
      <c r="W55" s="120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</row>
    <row r="56" spans="2:37" ht="14.5" customHeight="1">
      <c r="B56" s="4"/>
      <c r="C56" s="4"/>
      <c r="D56" s="4"/>
      <c r="E56" s="10"/>
      <c r="F56" s="10"/>
      <c r="G56" s="6"/>
      <c r="H56" s="4"/>
      <c r="I56" s="93"/>
      <c r="J56" s="93"/>
      <c r="K56" s="94">
        <f t="shared" si="5"/>
        <v>0</v>
      </c>
      <c r="L56" s="95"/>
      <c r="M56" s="94">
        <f t="shared" si="6"/>
        <v>0</v>
      </c>
      <c r="N56" s="95"/>
      <c r="O56" s="94">
        <f t="shared" si="7"/>
        <v>0</v>
      </c>
      <c r="P56" s="94">
        <f t="shared" si="8"/>
        <v>0</v>
      </c>
      <c r="Q56" s="96">
        <f>IFERROR(P56*VLOOKUP(P56,CG!$B$16:$C$19,2,1),0)</f>
        <v>0</v>
      </c>
      <c r="R56" s="5">
        <f>(P56-Q56-S56)*VLOOKUP((P56-Q56-S56),CG!$E$16:$G$20,2,1)-VLOOKUP((P56-Q56-S56),CG!$E$16:$G$20,3,1)</f>
        <v>0</v>
      </c>
      <c r="S56" s="97"/>
      <c r="T56" s="97"/>
      <c r="U56" s="5">
        <f t="shared" si="4"/>
        <v>0</v>
      </c>
      <c r="V56" s="119"/>
      <c r="W56" s="120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</row>
    <row r="57" spans="2:37" ht="14.5" customHeight="1">
      <c r="B57" s="4"/>
      <c r="C57" s="4"/>
      <c r="D57" s="4"/>
      <c r="E57" s="10"/>
      <c r="F57" s="10"/>
      <c r="G57" s="6"/>
      <c r="H57" s="4"/>
      <c r="I57" s="93"/>
      <c r="J57" s="93"/>
      <c r="K57" s="94">
        <f t="shared" si="5"/>
        <v>0</v>
      </c>
      <c r="L57" s="95"/>
      <c r="M57" s="94">
        <f t="shared" si="6"/>
        <v>0</v>
      </c>
      <c r="N57" s="95"/>
      <c r="O57" s="94">
        <f t="shared" si="7"/>
        <v>0</v>
      </c>
      <c r="P57" s="94">
        <f t="shared" si="8"/>
        <v>0</v>
      </c>
      <c r="Q57" s="96">
        <f>IFERROR(P57*VLOOKUP(P57,CG!$B$16:$C$19,2,1),0)</f>
        <v>0</v>
      </c>
      <c r="R57" s="5">
        <f>(P57-Q57-S57)*VLOOKUP((P57-Q57-S57),CG!$E$16:$G$20,2,1)-VLOOKUP((P57-Q57-S57),CG!$E$16:$G$20,3,1)</f>
        <v>0</v>
      </c>
      <c r="S57" s="97"/>
      <c r="T57" s="97"/>
      <c r="U57" s="5">
        <f t="shared" si="4"/>
        <v>0</v>
      </c>
      <c r="V57" s="119"/>
      <c r="W57" s="120"/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</row>
    <row r="58" spans="2:37" ht="14.5" customHeight="1">
      <c r="B58" s="4"/>
      <c r="C58" s="4"/>
      <c r="D58" s="4"/>
      <c r="E58" s="10"/>
      <c r="F58" s="10"/>
      <c r="G58" s="6"/>
      <c r="H58" s="4"/>
      <c r="I58" s="93"/>
      <c r="J58" s="93"/>
      <c r="K58" s="94">
        <f t="shared" si="5"/>
        <v>0</v>
      </c>
      <c r="L58" s="95"/>
      <c r="M58" s="94">
        <f t="shared" si="6"/>
        <v>0</v>
      </c>
      <c r="N58" s="95"/>
      <c r="O58" s="94">
        <f t="shared" si="7"/>
        <v>0</v>
      </c>
      <c r="P58" s="94">
        <f t="shared" si="8"/>
        <v>0</v>
      </c>
      <c r="Q58" s="96">
        <f>IFERROR(P58*VLOOKUP(P58,CG!$B$16:$C$19,2,1),0)</f>
        <v>0</v>
      </c>
      <c r="R58" s="5">
        <f>(P58-Q58-S58)*VLOOKUP((P58-Q58-S58),CG!$E$16:$G$20,2,1)-VLOOKUP((P58-Q58-S58),CG!$E$16:$G$20,3,1)</f>
        <v>0</v>
      </c>
      <c r="S58" s="97"/>
      <c r="T58" s="97"/>
      <c r="U58" s="5">
        <f t="shared" si="4"/>
        <v>0</v>
      </c>
      <c r="V58" s="119"/>
      <c r="W58" s="120"/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</row>
    <row r="59" spans="2:37" ht="14.5" customHeight="1">
      <c r="B59" s="4"/>
      <c r="C59" s="4"/>
      <c r="D59" s="4"/>
      <c r="E59" s="10"/>
      <c r="F59" s="10"/>
      <c r="G59" s="6"/>
      <c r="H59" s="4"/>
      <c r="I59" s="93"/>
      <c r="J59" s="93"/>
      <c r="K59" s="94">
        <f t="shared" si="5"/>
        <v>0</v>
      </c>
      <c r="L59" s="95"/>
      <c r="M59" s="94">
        <f t="shared" si="6"/>
        <v>0</v>
      </c>
      <c r="N59" s="95"/>
      <c r="O59" s="94">
        <f t="shared" si="7"/>
        <v>0</v>
      </c>
      <c r="P59" s="94">
        <f t="shared" si="8"/>
        <v>0</v>
      </c>
      <c r="Q59" s="96">
        <f>IFERROR(P59*VLOOKUP(P59,CG!$B$16:$C$19,2,1),0)</f>
        <v>0</v>
      </c>
      <c r="R59" s="5">
        <f>(P59-Q59-S59)*VLOOKUP((P59-Q59-S59),CG!$E$16:$G$20,2,1)-VLOOKUP((P59-Q59-S59),CG!$E$16:$G$20,3,1)</f>
        <v>0</v>
      </c>
      <c r="S59" s="97"/>
      <c r="T59" s="97"/>
      <c r="U59" s="5">
        <f t="shared" si="4"/>
        <v>0</v>
      </c>
      <c r="V59" s="119"/>
      <c r="W59" s="120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</row>
    <row r="60" spans="2:37" ht="14.5" customHeight="1">
      <c r="B60" s="4"/>
      <c r="C60" s="4"/>
      <c r="D60" s="4"/>
      <c r="E60" s="10"/>
      <c r="F60" s="10"/>
      <c r="G60" s="6"/>
      <c r="H60" s="4"/>
      <c r="I60" s="93"/>
      <c r="J60" s="93"/>
      <c r="K60" s="94">
        <f t="shared" si="5"/>
        <v>0</v>
      </c>
      <c r="L60" s="95"/>
      <c r="M60" s="94">
        <f t="shared" si="6"/>
        <v>0</v>
      </c>
      <c r="N60" s="95"/>
      <c r="O60" s="94">
        <f t="shared" si="7"/>
        <v>0</v>
      </c>
      <c r="P60" s="94">
        <f t="shared" si="8"/>
        <v>0</v>
      </c>
      <c r="Q60" s="96">
        <f>IFERROR(P60*VLOOKUP(P60,CG!$B$16:$C$19,2,1),0)</f>
        <v>0</v>
      </c>
      <c r="R60" s="5">
        <f>(P60-Q60-S60)*VLOOKUP((P60-Q60-S60),CG!$E$16:$G$20,2,1)-VLOOKUP((P60-Q60-S60),CG!$E$16:$G$20,3,1)</f>
        <v>0</v>
      </c>
      <c r="S60" s="97"/>
      <c r="T60" s="97"/>
      <c r="U60" s="5">
        <f t="shared" si="4"/>
        <v>0</v>
      </c>
      <c r="V60" s="119"/>
      <c r="W60" s="120"/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</row>
    <row r="61" spans="2:37" ht="14.5" customHeight="1">
      <c r="B61" s="4"/>
      <c r="C61" s="4"/>
      <c r="D61" s="4"/>
      <c r="E61" s="10"/>
      <c r="F61" s="10"/>
      <c r="G61" s="6"/>
      <c r="H61" s="4"/>
      <c r="I61" s="93"/>
      <c r="J61" s="93"/>
      <c r="K61" s="94">
        <f t="shared" si="5"/>
        <v>0</v>
      </c>
      <c r="L61" s="95"/>
      <c r="M61" s="94">
        <f t="shared" si="6"/>
        <v>0</v>
      </c>
      <c r="N61" s="95"/>
      <c r="O61" s="94">
        <f t="shared" si="7"/>
        <v>0</v>
      </c>
      <c r="P61" s="94">
        <f t="shared" si="8"/>
        <v>0</v>
      </c>
      <c r="Q61" s="96">
        <f>IFERROR(P61*VLOOKUP(P61,CG!$B$16:$C$19,2,1),0)</f>
        <v>0</v>
      </c>
      <c r="R61" s="5">
        <f>(P61-Q61-S61)*VLOOKUP((P61-Q61-S61),CG!$E$16:$G$20,2,1)-VLOOKUP((P61-Q61-S61),CG!$E$16:$G$20,3,1)</f>
        <v>0</v>
      </c>
      <c r="S61" s="97"/>
      <c r="T61" s="97"/>
      <c r="U61" s="5">
        <f t="shared" si="4"/>
        <v>0</v>
      </c>
      <c r="V61" s="119"/>
      <c r="W61" s="120"/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</row>
    <row r="62" spans="2:37" ht="14.5" customHeight="1">
      <c r="B62" s="4"/>
      <c r="C62" s="4"/>
      <c r="D62" s="4"/>
      <c r="E62" s="10"/>
      <c r="F62" s="10"/>
      <c r="G62" s="6"/>
      <c r="H62" s="4"/>
      <c r="I62" s="93"/>
      <c r="J62" s="93"/>
      <c r="K62" s="94">
        <f t="shared" si="5"/>
        <v>0</v>
      </c>
      <c r="L62" s="95"/>
      <c r="M62" s="94">
        <f t="shared" si="6"/>
        <v>0</v>
      </c>
      <c r="N62" s="95"/>
      <c r="O62" s="94">
        <f t="shared" si="7"/>
        <v>0</v>
      </c>
      <c r="P62" s="94">
        <f t="shared" si="8"/>
        <v>0</v>
      </c>
      <c r="Q62" s="96">
        <f>IFERROR(P62*VLOOKUP(P62,CG!$B$16:$C$19,2,1),0)</f>
        <v>0</v>
      </c>
      <c r="R62" s="5">
        <f>(P62-Q62-S62)*VLOOKUP((P62-Q62-S62),CG!$E$16:$G$20,2,1)-VLOOKUP((P62-Q62-S62),CG!$E$16:$G$20,3,1)</f>
        <v>0</v>
      </c>
      <c r="S62" s="97"/>
      <c r="T62" s="97"/>
      <c r="U62" s="5">
        <f t="shared" si="4"/>
        <v>0</v>
      </c>
      <c r="V62" s="119"/>
      <c r="W62" s="120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</row>
    <row r="63" spans="2:37" ht="14.5" customHeight="1">
      <c r="B63" s="4"/>
      <c r="C63" s="4"/>
      <c r="D63" s="4"/>
      <c r="E63" s="10"/>
      <c r="F63" s="10"/>
      <c r="G63" s="6"/>
      <c r="H63" s="4"/>
      <c r="I63" s="93"/>
      <c r="J63" s="93"/>
      <c r="K63" s="94">
        <f t="shared" si="5"/>
        <v>0</v>
      </c>
      <c r="L63" s="95"/>
      <c r="M63" s="94">
        <f t="shared" si="6"/>
        <v>0</v>
      </c>
      <c r="N63" s="95"/>
      <c r="O63" s="94">
        <f t="shared" si="7"/>
        <v>0</v>
      </c>
      <c r="P63" s="94">
        <f t="shared" si="8"/>
        <v>0</v>
      </c>
      <c r="Q63" s="96">
        <f>IFERROR(P63*VLOOKUP(P63,CG!$B$16:$C$19,2,1),0)</f>
        <v>0</v>
      </c>
      <c r="R63" s="5">
        <f>(P63-Q63-S63)*VLOOKUP((P63-Q63-S63),CG!$E$16:$G$20,2,1)-VLOOKUP((P63-Q63-S63),CG!$E$16:$G$20,3,1)</f>
        <v>0</v>
      </c>
      <c r="S63" s="97"/>
      <c r="T63" s="97"/>
      <c r="U63" s="5">
        <f t="shared" si="4"/>
        <v>0</v>
      </c>
      <c r="V63" s="119"/>
      <c r="W63" s="120"/>
      <c r="Z63" s="118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</row>
    <row r="64" spans="2:37" ht="14.5" customHeight="1">
      <c r="Z64" s="117"/>
      <c r="AA64" s="117"/>
      <c r="AB64" s="117"/>
      <c r="AC64" s="117"/>
      <c r="AD64" s="117"/>
      <c r="AE64" s="117"/>
      <c r="AF64" s="117"/>
      <c r="AG64" s="117"/>
    </row>
    <row r="65" ht="14.5" customHeight="1"/>
    <row r="66" ht="14.5" customHeight="1"/>
    <row r="67" ht="14.5" customHeight="1"/>
    <row r="68" ht="14.5" customHeight="1"/>
    <row r="69" ht="14.5" customHeight="1"/>
    <row r="70" ht="14.5" customHeight="1"/>
    <row r="71" ht="14.5" customHeight="1"/>
    <row r="72" ht="14.5" customHeight="1"/>
    <row r="73" ht="14.5" customHeight="1"/>
    <row r="74" ht="14.5" customHeight="1"/>
    <row r="75" ht="14.5" customHeight="1"/>
    <row r="76" ht="14.5" customHeight="1"/>
    <row r="77" ht="14.5" customHeight="1"/>
    <row r="78" ht="14.5" customHeight="1"/>
    <row r="79" ht="14.5" customHeight="1"/>
    <row r="80" ht="14.5" customHeight="1"/>
    <row r="81" ht="14.5" customHeight="1"/>
    <row r="82" ht="14.5" customHeight="1"/>
    <row r="83" ht="14.5" customHeight="1"/>
    <row r="84" ht="14.5" customHeight="1"/>
    <row r="85" ht="14.5" customHeight="1"/>
    <row r="86" ht="14.5" customHeight="1"/>
    <row r="87" ht="14.5" customHeight="1"/>
    <row r="88" ht="14.5" customHeight="1"/>
    <row r="89" ht="14.5" customHeight="1"/>
    <row r="90" ht="14.5" customHeight="1"/>
    <row r="91" ht="14.5" customHeight="1"/>
  </sheetData>
  <mergeCells count="2">
    <mergeCell ref="E10:F10"/>
    <mergeCell ref="C12:H12"/>
  </mergeCells>
  <phoneticPr fontId="6" type="noConversion"/>
  <conditionalFormatting sqref="Q13:W13">
    <cfRule type="cellIs" dxfId="3" priority="1" operator="equal">
      <formula>0</formula>
    </cfRule>
  </conditionalFormatting>
  <dataValidations count="2">
    <dataValidation type="list" allowBlank="1" showInputMessage="1" showErrorMessage="1" sqref="V14:V63" xr:uid="{D6DE3A89-015C-4E09-9AC7-C44D4D21C2E0}">
      <formula1>"Janeiro, Fevereiro, Março, Abril, Maio, Junho, Juho, Agosto, Setembro, Outrubro, Novembro, Dezembro"</formula1>
    </dataValidation>
    <dataValidation type="list" allowBlank="1" showInputMessage="1" showErrorMessage="1" sqref="W14:W63" xr:uid="{B69A4157-5A41-4AEC-AFD1-482D3E11504B}">
      <formula1>"2021,2022,2023,2024,2025"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76A53-12E3-4910-A46E-3268FB0EEAD8}">
  <sheetPr codeName="Planilha6">
    <tabColor theme="8" tint="-0.499984740745262"/>
  </sheetPr>
  <dimension ref="B1:AK91"/>
  <sheetViews>
    <sheetView showGridLines="0" showRowColHeaders="0" zoomScale="85" zoomScaleNormal="85" workbookViewId="0">
      <pane ySplit="13" topLeftCell="A14" activePane="bottomLeft" state="frozen"/>
      <selection pane="bottomLeft"/>
    </sheetView>
  </sheetViews>
  <sheetFormatPr defaultColWidth="8.81640625" defaultRowHeight="0" customHeight="1" zeroHeight="1"/>
  <cols>
    <col min="1" max="1" width="1.81640625" customWidth="1"/>
    <col min="2" max="2" width="9.81640625" customWidth="1"/>
    <col min="3" max="4" width="20.81640625" customWidth="1"/>
    <col min="5" max="6" width="25.81640625" customWidth="1"/>
    <col min="7" max="7" width="12.1796875" style="11" bestFit="1" customWidth="1"/>
    <col min="8" max="8" width="11.54296875" style="12" bestFit="1" customWidth="1"/>
    <col min="9" max="9" width="9.54296875" style="78" bestFit="1" customWidth="1"/>
    <col min="10" max="10" width="10.1796875" style="78" bestFit="1" customWidth="1"/>
    <col min="11" max="11" width="10.54296875" style="78" bestFit="1" customWidth="1"/>
    <col min="12" max="12" width="13" style="83" bestFit="1" customWidth="1"/>
    <col min="13" max="13" width="13" style="78" bestFit="1" customWidth="1"/>
    <col min="14" max="14" width="13.7265625" style="83" bestFit="1" customWidth="1"/>
    <col min="15" max="15" width="13.7265625" style="78" bestFit="1" customWidth="1"/>
    <col min="16" max="16" width="13.453125" style="78" customWidth="1"/>
    <col min="17" max="17" width="10.54296875" style="81" bestFit="1" customWidth="1"/>
    <col min="18" max="18" width="12.81640625" style="81" customWidth="1"/>
    <col min="19" max="19" width="15.453125" style="81" bestFit="1" customWidth="1"/>
    <col min="20" max="20" width="15.453125" style="81" customWidth="1"/>
    <col min="21" max="21" width="13.453125" style="81" bestFit="1" customWidth="1"/>
    <col min="22" max="23" width="10.453125" bestFit="1" customWidth="1"/>
    <col min="24" max="24" width="16.1796875" bestFit="1" customWidth="1"/>
    <col min="27" max="27" width="10.26953125" bestFit="1" customWidth="1"/>
  </cols>
  <sheetData>
    <row r="1" spans="2:37" ht="14.5"/>
    <row r="2" spans="2:37" ht="14.5"/>
    <row r="3" spans="2:37" ht="14.5"/>
    <row r="4" spans="2:37" ht="2.15" customHeight="1"/>
    <row r="5" spans="2:37" s="1" customFormat="1" ht="5.15" customHeight="1">
      <c r="G5" s="13"/>
      <c r="H5" s="14"/>
      <c r="I5" s="79"/>
      <c r="J5" s="79"/>
      <c r="K5" s="79"/>
      <c r="L5" s="84"/>
      <c r="M5" s="79"/>
      <c r="N5" s="84"/>
      <c r="O5" s="79"/>
      <c r="P5" s="79"/>
      <c r="Q5" s="82"/>
      <c r="R5" s="82"/>
      <c r="S5" s="82"/>
      <c r="T5" s="82"/>
      <c r="U5" s="82"/>
    </row>
    <row r="6" spans="2:37" ht="3" customHeight="1"/>
    <row r="7" spans="2:37" s="1" customFormat="1" ht="5.15" customHeight="1">
      <c r="G7" s="13"/>
      <c r="H7" s="14"/>
      <c r="I7" s="79"/>
      <c r="J7" s="79"/>
      <c r="K7" s="79"/>
      <c r="L7" s="84"/>
      <c r="M7" s="79"/>
      <c r="N7" s="84"/>
      <c r="O7" s="79"/>
      <c r="P7" s="79"/>
      <c r="Q7" s="82"/>
      <c r="R7" s="82"/>
      <c r="S7" s="82"/>
      <c r="T7" s="82"/>
      <c r="U7" s="82"/>
    </row>
    <row r="8" spans="2:37" ht="2.15" customHeight="1"/>
    <row r="9" spans="2:37" ht="30" customHeight="1"/>
    <row r="10" spans="2:37" ht="25" customHeight="1">
      <c r="B10" s="115"/>
      <c r="D10" s="121" t="s">
        <v>0</v>
      </c>
      <c r="E10" s="134" t="s">
        <v>1</v>
      </c>
      <c r="F10" s="135"/>
    </row>
    <row r="11" spans="2:37" ht="5.15" customHeight="1"/>
    <row r="12" spans="2:37" ht="40" customHeight="1">
      <c r="B12" s="116"/>
      <c r="C12" s="136" t="s">
        <v>92</v>
      </c>
      <c r="D12" s="137"/>
      <c r="E12" s="137"/>
      <c r="F12" s="137"/>
      <c r="G12" s="137"/>
      <c r="H12" s="137"/>
      <c r="I12" s="80"/>
      <c r="J12" s="80"/>
      <c r="K12" s="80"/>
      <c r="L12" s="85"/>
      <c r="M12" s="80"/>
      <c r="N12" s="85"/>
      <c r="O12" s="80"/>
      <c r="P12" s="80"/>
      <c r="Q12" s="80"/>
      <c r="R12" s="80"/>
      <c r="S12" s="80"/>
      <c r="T12" s="80"/>
      <c r="U12" s="80"/>
      <c r="V12" s="80"/>
      <c r="W12" s="80"/>
      <c r="X12" s="80"/>
    </row>
    <row r="13" spans="2:37" s="92" customFormat="1" ht="32.15" customHeight="1">
      <c r="B13" s="86" t="s">
        <v>59</v>
      </c>
      <c r="C13" s="86" t="s">
        <v>2</v>
      </c>
      <c r="D13" s="86" t="s">
        <v>23</v>
      </c>
      <c r="E13" s="9" t="s">
        <v>3</v>
      </c>
      <c r="F13" s="87" t="s">
        <v>4</v>
      </c>
      <c r="G13" s="88" t="s">
        <v>15</v>
      </c>
      <c r="H13" s="87" t="s">
        <v>16</v>
      </c>
      <c r="I13" s="89" t="s">
        <v>52</v>
      </c>
      <c r="J13" s="89" t="s">
        <v>53</v>
      </c>
      <c r="K13" s="89" t="s">
        <v>51</v>
      </c>
      <c r="L13" s="90" t="s">
        <v>54</v>
      </c>
      <c r="M13" s="89" t="s">
        <v>56</v>
      </c>
      <c r="N13" s="90" t="s">
        <v>55</v>
      </c>
      <c r="O13" s="89" t="s">
        <v>57</v>
      </c>
      <c r="P13" s="89" t="s">
        <v>58</v>
      </c>
      <c r="Q13" s="91" t="s">
        <v>46</v>
      </c>
      <c r="R13" s="91" t="s">
        <v>47</v>
      </c>
      <c r="S13" s="91" t="s">
        <v>48</v>
      </c>
      <c r="T13" s="91" t="s">
        <v>74</v>
      </c>
      <c r="U13" s="91" t="s">
        <v>50</v>
      </c>
      <c r="V13" s="91" t="s">
        <v>76</v>
      </c>
      <c r="W13" s="91" t="s">
        <v>77</v>
      </c>
      <c r="X13" s="91" t="s">
        <v>93</v>
      </c>
    </row>
    <row r="14" spans="2:37" ht="16.399999999999999" customHeight="1">
      <c r="B14" s="4">
        <v>9001</v>
      </c>
      <c r="C14" s="4" t="s">
        <v>6</v>
      </c>
      <c r="D14" s="4">
        <v>1234</v>
      </c>
      <c r="E14" s="10" t="s">
        <v>7</v>
      </c>
      <c r="F14" s="10" t="s">
        <v>8</v>
      </c>
      <c r="G14" s="6">
        <v>3000</v>
      </c>
      <c r="H14" s="15">
        <v>43862</v>
      </c>
      <c r="I14" s="93">
        <v>1</v>
      </c>
      <c r="J14" s="93">
        <v>5</v>
      </c>
      <c r="K14" s="94">
        <f>SUM((G14/220)*I14*1.5,(G14/220)*J14*2)</f>
        <v>156.81818181818181</v>
      </c>
      <c r="L14" s="95">
        <v>0</v>
      </c>
      <c r="M14" s="94">
        <f>IF(L14="",0,G14*L14)</f>
        <v>0</v>
      </c>
      <c r="N14" s="95">
        <v>0</v>
      </c>
      <c r="O14" s="94">
        <f>IF(N14="",0,G14*N14)</f>
        <v>0</v>
      </c>
      <c r="P14" s="94">
        <f>G14+K14+M14+O14</f>
        <v>3156.818181818182</v>
      </c>
      <c r="Q14" s="96">
        <f>IFERROR(P14*VLOOKUP(P14,CG!$B$16:$C$19,2,1),0)</f>
        <v>378.81818181818181</v>
      </c>
      <c r="R14" s="5">
        <f>(P14-Q14-S14)*VLOOKUP((P14-Q14-S14),CG!$E$16:$G$20,2,1)-VLOOKUP((P14-Q14-S14),CG!$E$16:$G$20,3,1)</f>
        <v>65.549999999999983</v>
      </c>
      <c r="S14" s="97"/>
      <c r="T14" s="97"/>
      <c r="U14" s="5">
        <f>P14-Q14-R14-S14+T14</f>
        <v>2712.45</v>
      </c>
      <c r="V14" s="119" t="s">
        <v>78</v>
      </c>
      <c r="W14" s="120">
        <v>2021</v>
      </c>
      <c r="X14" s="112" t="str">
        <f t="shared" ref="X14:X63" si="0">CONCATENATE(V14,"/",W14)</f>
        <v>Janeiro/2021</v>
      </c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</row>
    <row r="15" spans="2:37" ht="16.399999999999999" customHeight="1">
      <c r="B15" s="4">
        <v>9002</v>
      </c>
      <c r="C15" s="4" t="s">
        <v>9</v>
      </c>
      <c r="D15" s="4">
        <v>5678</v>
      </c>
      <c r="E15" s="10" t="s">
        <v>10</v>
      </c>
      <c r="F15" s="10" t="s">
        <v>11</v>
      </c>
      <c r="G15" s="6">
        <v>2500</v>
      </c>
      <c r="H15" s="15">
        <v>43753</v>
      </c>
      <c r="I15" s="93">
        <v>3</v>
      </c>
      <c r="J15" s="93">
        <v>2</v>
      </c>
      <c r="K15" s="94">
        <f t="shared" ref="K15:K63" si="1">SUM((G15/220)*I15*1.5,(G15/220)*J15*2)</f>
        <v>96.590909090909093</v>
      </c>
      <c r="L15" s="95">
        <v>0</v>
      </c>
      <c r="M15" s="94">
        <f t="shared" ref="M15:M63" si="2">IF(L15="",0,G15*L15)</f>
        <v>0</v>
      </c>
      <c r="N15" s="95">
        <v>0</v>
      </c>
      <c r="O15" s="94">
        <f t="shared" ref="O15:O63" si="3">IF(N15="",0,G15*N15)</f>
        <v>0</v>
      </c>
      <c r="P15" s="94">
        <f t="shared" ref="P15:P63" si="4">G15+K15+M15+O15</f>
        <v>2596.590909090909</v>
      </c>
      <c r="Q15" s="96">
        <f>IFERROR(P15*VLOOKUP(P15,CG!$B$16:$C$19,2,1),0)</f>
        <v>233.69318181818181</v>
      </c>
      <c r="R15" s="5">
        <f>(P15-Q15-S15)*VLOOKUP((P15-Q15-S15),CG!$E$16:$G$20,2,1)-VLOOKUP((P15-Q15-S15),CG!$E$16:$G$20,3,1)</f>
        <v>34.417329545454521</v>
      </c>
      <c r="S15" s="97"/>
      <c r="T15" s="97"/>
      <c r="U15" s="5">
        <f t="shared" ref="U15:U63" si="5">P15-Q15-R15-S15+T15</f>
        <v>2328.4803977272727</v>
      </c>
      <c r="V15" s="119" t="s">
        <v>78</v>
      </c>
      <c r="W15" s="120">
        <v>2021</v>
      </c>
      <c r="X15" s="112" t="str">
        <f t="shared" si="0"/>
        <v>Janeiro/2021</v>
      </c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</row>
    <row r="16" spans="2:37" ht="16.399999999999999" customHeight="1">
      <c r="B16" s="4">
        <v>9003</v>
      </c>
      <c r="C16" s="4" t="s">
        <v>12</v>
      </c>
      <c r="D16" s="4">
        <v>6789</v>
      </c>
      <c r="E16" s="10" t="s">
        <v>13</v>
      </c>
      <c r="F16" s="10" t="s">
        <v>14</v>
      </c>
      <c r="G16" s="6">
        <v>1500</v>
      </c>
      <c r="H16" s="15">
        <v>43595</v>
      </c>
      <c r="I16" s="93">
        <v>10</v>
      </c>
      <c r="J16" s="93">
        <v>2</v>
      </c>
      <c r="K16" s="94">
        <f t="shared" si="1"/>
        <v>129.54545454545456</v>
      </c>
      <c r="L16" s="95">
        <v>0.1</v>
      </c>
      <c r="M16" s="94">
        <f t="shared" si="2"/>
        <v>150</v>
      </c>
      <c r="N16" s="95">
        <v>0.2</v>
      </c>
      <c r="O16" s="94">
        <f t="shared" si="3"/>
        <v>300</v>
      </c>
      <c r="P16" s="94">
        <f t="shared" si="4"/>
        <v>2079.5454545454545</v>
      </c>
      <c r="Q16" s="96">
        <f>IFERROR(P16*VLOOKUP(P16,CG!$B$16:$C$19,2,1),0)</f>
        <v>155.96590909090909</v>
      </c>
      <c r="R16" s="5">
        <f>(P16-Q16-S16)*VLOOKUP((P16-Q16-S16),CG!$E$16:$G$20,2,1)-VLOOKUP((P16-Q16-S16),CG!$E$16:$G$20,3,1)</f>
        <v>1.4684659090908951</v>
      </c>
      <c r="S16" s="97"/>
      <c r="T16" s="97"/>
      <c r="U16" s="5">
        <f t="shared" si="5"/>
        <v>1922.1110795454547</v>
      </c>
      <c r="V16" s="119" t="s">
        <v>78</v>
      </c>
      <c r="W16" s="120">
        <v>2021</v>
      </c>
      <c r="X16" s="112" t="str">
        <f t="shared" si="0"/>
        <v>Janeiro/2021</v>
      </c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</row>
    <row r="17" spans="2:37" ht="16.399999999999999" customHeight="1">
      <c r="B17" s="4"/>
      <c r="C17" s="4"/>
      <c r="D17" s="4"/>
      <c r="E17" s="10"/>
      <c r="F17" s="6"/>
      <c r="G17" s="6"/>
      <c r="H17" s="15"/>
      <c r="I17" s="93"/>
      <c r="J17" s="93"/>
      <c r="K17" s="94">
        <f t="shared" si="1"/>
        <v>0</v>
      </c>
      <c r="L17" s="95"/>
      <c r="M17" s="94">
        <f t="shared" si="2"/>
        <v>0</v>
      </c>
      <c r="N17" s="95"/>
      <c r="O17" s="94">
        <f t="shared" si="3"/>
        <v>0</v>
      </c>
      <c r="P17" s="94">
        <f t="shared" si="4"/>
        <v>0</v>
      </c>
      <c r="Q17" s="96">
        <f>IFERROR(P17*VLOOKUP(P17,CG!$B$16:$C$19,2,1),0)</f>
        <v>0</v>
      </c>
      <c r="R17" s="5">
        <f>(P17-Q17-S17)*VLOOKUP((P17-Q17-S17),CG!$E$16:$G$20,2,1)-VLOOKUP((P17-Q17-S17),CG!$E$16:$G$20,3,1)</f>
        <v>0</v>
      </c>
      <c r="S17" s="97"/>
      <c r="T17" s="97"/>
      <c r="U17" s="5">
        <f t="shared" si="5"/>
        <v>0</v>
      </c>
      <c r="V17" s="119"/>
      <c r="W17" s="120"/>
      <c r="X17" s="112" t="str">
        <f t="shared" si="0"/>
        <v>/</v>
      </c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</row>
    <row r="18" spans="2:37" ht="15" customHeight="1">
      <c r="B18" s="4"/>
      <c r="C18" s="4"/>
      <c r="D18" s="4"/>
      <c r="E18" s="10"/>
      <c r="F18" s="6"/>
      <c r="G18" s="6"/>
      <c r="H18" s="4"/>
      <c r="I18" s="93"/>
      <c r="J18" s="93"/>
      <c r="K18" s="94">
        <f t="shared" si="1"/>
        <v>0</v>
      </c>
      <c r="L18" s="95"/>
      <c r="M18" s="94">
        <f t="shared" si="2"/>
        <v>0</v>
      </c>
      <c r="N18" s="95"/>
      <c r="O18" s="94">
        <f t="shared" si="3"/>
        <v>0</v>
      </c>
      <c r="P18" s="94">
        <f t="shared" si="4"/>
        <v>0</v>
      </c>
      <c r="Q18" s="96">
        <f>IFERROR(P18*VLOOKUP(P18,CG!$B$16:$C$19,2,1),0)</f>
        <v>0</v>
      </c>
      <c r="R18" s="5">
        <f>(P18-Q18-S18)*VLOOKUP((P18-Q18-S18),CG!$E$16:$G$20,2,1)-VLOOKUP((P18-Q18-S18),CG!$E$16:$G$20,3,1)</f>
        <v>0</v>
      </c>
      <c r="S18" s="97"/>
      <c r="T18" s="97"/>
      <c r="U18" s="5">
        <f t="shared" si="5"/>
        <v>0</v>
      </c>
      <c r="V18" s="119"/>
      <c r="W18" s="120"/>
      <c r="X18" s="112" t="str">
        <f t="shared" si="0"/>
        <v>/</v>
      </c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</row>
    <row r="19" spans="2:37" ht="16.399999999999999" customHeight="1">
      <c r="B19" s="4"/>
      <c r="C19" s="4"/>
      <c r="D19" s="4"/>
      <c r="E19" s="10"/>
      <c r="F19" s="6"/>
      <c r="G19" s="6"/>
      <c r="H19" s="4"/>
      <c r="I19" s="93"/>
      <c r="J19" s="93"/>
      <c r="K19" s="94">
        <f t="shared" si="1"/>
        <v>0</v>
      </c>
      <c r="L19" s="95"/>
      <c r="M19" s="94">
        <f t="shared" si="2"/>
        <v>0</v>
      </c>
      <c r="N19" s="95"/>
      <c r="O19" s="94">
        <f t="shared" si="3"/>
        <v>0</v>
      </c>
      <c r="P19" s="94">
        <f t="shared" si="4"/>
        <v>0</v>
      </c>
      <c r="Q19" s="96">
        <f>IFERROR(P19*VLOOKUP(P19,CG!$B$16:$C$19,2,1),0)</f>
        <v>0</v>
      </c>
      <c r="R19" s="5">
        <f>(P19-Q19-S19)*VLOOKUP((P19-Q19-S19),CG!$E$16:$G$20,2,1)-VLOOKUP((P19-Q19-S19),CG!$E$16:$G$20,3,1)</f>
        <v>0</v>
      </c>
      <c r="S19" s="97"/>
      <c r="T19" s="97"/>
      <c r="U19" s="5">
        <f t="shared" si="5"/>
        <v>0</v>
      </c>
      <c r="V19" s="119"/>
      <c r="W19" s="120"/>
      <c r="X19" s="112" t="str">
        <f t="shared" si="0"/>
        <v>/</v>
      </c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</row>
    <row r="20" spans="2:37" ht="16.399999999999999" customHeight="1">
      <c r="B20" s="4"/>
      <c r="C20" s="4"/>
      <c r="D20" s="4"/>
      <c r="E20" s="10"/>
      <c r="F20" s="10"/>
      <c r="G20" s="6"/>
      <c r="H20" s="4"/>
      <c r="I20" s="93"/>
      <c r="J20" s="93"/>
      <c r="K20" s="94">
        <f t="shared" si="1"/>
        <v>0</v>
      </c>
      <c r="L20" s="95"/>
      <c r="M20" s="94">
        <f t="shared" si="2"/>
        <v>0</v>
      </c>
      <c r="N20" s="95"/>
      <c r="O20" s="94">
        <f t="shared" si="3"/>
        <v>0</v>
      </c>
      <c r="P20" s="94">
        <f t="shared" si="4"/>
        <v>0</v>
      </c>
      <c r="Q20" s="96">
        <f>IFERROR(P20*VLOOKUP(P20,CG!$B$16:$C$19,2,1),0)</f>
        <v>0</v>
      </c>
      <c r="R20" s="5">
        <f>(P20-Q20-S20)*VLOOKUP((P20-Q20-S20),CG!$E$16:$G$20,2,1)-VLOOKUP((P20-Q20-S20),CG!$E$16:$G$20,3,1)</f>
        <v>0</v>
      </c>
      <c r="S20" s="97"/>
      <c r="T20" s="97"/>
      <c r="U20" s="5">
        <f t="shared" si="5"/>
        <v>0</v>
      </c>
      <c r="V20" s="119"/>
      <c r="W20" s="120"/>
      <c r="X20" s="112" t="str">
        <f t="shared" si="0"/>
        <v>/</v>
      </c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</row>
    <row r="21" spans="2:37" ht="15" customHeight="1">
      <c r="B21" s="4"/>
      <c r="C21" s="4"/>
      <c r="D21" s="4"/>
      <c r="E21" s="10"/>
      <c r="F21" s="10"/>
      <c r="G21" s="6"/>
      <c r="H21" s="4"/>
      <c r="I21" s="93"/>
      <c r="J21" s="93"/>
      <c r="K21" s="94">
        <f t="shared" si="1"/>
        <v>0</v>
      </c>
      <c r="L21" s="95"/>
      <c r="M21" s="94">
        <f t="shared" si="2"/>
        <v>0</v>
      </c>
      <c r="N21" s="95"/>
      <c r="O21" s="94">
        <f t="shared" si="3"/>
        <v>0</v>
      </c>
      <c r="P21" s="94">
        <f t="shared" si="4"/>
        <v>0</v>
      </c>
      <c r="Q21" s="96">
        <f>IFERROR(P21*VLOOKUP(P21,CG!$B$16:$C$19,2,1),0)</f>
        <v>0</v>
      </c>
      <c r="R21" s="5">
        <f>(P21-Q21-S21)*VLOOKUP((P21-Q21-S21),CG!$E$16:$G$20,2,1)-VLOOKUP((P21-Q21-S21),CG!$E$16:$G$20,3,1)</f>
        <v>0</v>
      </c>
      <c r="S21" s="97"/>
      <c r="T21" s="97"/>
      <c r="U21" s="5">
        <f t="shared" si="5"/>
        <v>0</v>
      </c>
      <c r="V21" s="119"/>
      <c r="W21" s="120"/>
      <c r="X21" s="112" t="str">
        <f t="shared" si="0"/>
        <v>/</v>
      </c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</row>
    <row r="22" spans="2:37" ht="14.5">
      <c r="B22" s="4"/>
      <c r="C22" s="4"/>
      <c r="D22" s="4"/>
      <c r="E22" s="10"/>
      <c r="F22" s="10"/>
      <c r="G22" s="6"/>
      <c r="H22" s="4"/>
      <c r="I22" s="93"/>
      <c r="J22" s="93"/>
      <c r="K22" s="94">
        <f t="shared" si="1"/>
        <v>0</v>
      </c>
      <c r="L22" s="95"/>
      <c r="M22" s="94">
        <f t="shared" si="2"/>
        <v>0</v>
      </c>
      <c r="N22" s="95"/>
      <c r="O22" s="94">
        <f t="shared" si="3"/>
        <v>0</v>
      </c>
      <c r="P22" s="94">
        <f t="shared" si="4"/>
        <v>0</v>
      </c>
      <c r="Q22" s="96">
        <f>IFERROR(P22*VLOOKUP(P22,CG!$B$16:$C$19,2,1),0)</f>
        <v>0</v>
      </c>
      <c r="R22" s="5">
        <f>(P22-Q22-S22)*VLOOKUP((P22-Q22-S22),CG!$E$16:$G$20,2,1)-VLOOKUP((P22-Q22-S22),CG!$E$16:$G$20,3,1)</f>
        <v>0</v>
      </c>
      <c r="S22" s="97"/>
      <c r="T22" s="97"/>
      <c r="U22" s="5">
        <f t="shared" si="5"/>
        <v>0</v>
      </c>
      <c r="V22" s="119"/>
      <c r="W22" s="120"/>
      <c r="X22" s="112" t="str">
        <f t="shared" si="0"/>
        <v>/</v>
      </c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</row>
    <row r="23" spans="2:37" ht="14.5">
      <c r="B23" s="4"/>
      <c r="C23" s="4"/>
      <c r="D23" s="4"/>
      <c r="E23" s="10"/>
      <c r="F23" s="10"/>
      <c r="G23" s="6"/>
      <c r="H23" s="4"/>
      <c r="I23" s="93"/>
      <c r="J23" s="93"/>
      <c r="K23" s="94">
        <f t="shared" si="1"/>
        <v>0</v>
      </c>
      <c r="L23" s="95"/>
      <c r="M23" s="94">
        <f t="shared" si="2"/>
        <v>0</v>
      </c>
      <c r="N23" s="95"/>
      <c r="O23" s="94">
        <f t="shared" si="3"/>
        <v>0</v>
      </c>
      <c r="P23" s="94">
        <f t="shared" si="4"/>
        <v>0</v>
      </c>
      <c r="Q23" s="96">
        <f>IFERROR(P23*VLOOKUP(P23,CG!$B$16:$C$19,2,1),0)</f>
        <v>0</v>
      </c>
      <c r="R23" s="5">
        <f>(P23-Q23-S23)*VLOOKUP((P23-Q23-S23),CG!$E$16:$G$20,2,1)-VLOOKUP((P23-Q23-S23),CG!$E$16:$G$20,3,1)</f>
        <v>0</v>
      </c>
      <c r="S23" s="97"/>
      <c r="T23" s="97"/>
      <c r="U23" s="5">
        <f t="shared" si="5"/>
        <v>0</v>
      </c>
      <c r="V23" s="119"/>
      <c r="W23" s="120"/>
      <c r="X23" s="112" t="str">
        <f t="shared" si="0"/>
        <v>/</v>
      </c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</row>
    <row r="24" spans="2:37" ht="14.5">
      <c r="B24" s="4"/>
      <c r="C24" s="4"/>
      <c r="D24" s="4"/>
      <c r="E24" s="10"/>
      <c r="F24" s="10"/>
      <c r="G24" s="6"/>
      <c r="H24" s="4"/>
      <c r="I24" s="93"/>
      <c r="J24" s="93"/>
      <c r="K24" s="94">
        <f t="shared" si="1"/>
        <v>0</v>
      </c>
      <c r="L24" s="95"/>
      <c r="M24" s="94">
        <f t="shared" si="2"/>
        <v>0</v>
      </c>
      <c r="N24" s="95"/>
      <c r="O24" s="94">
        <f t="shared" si="3"/>
        <v>0</v>
      </c>
      <c r="P24" s="94">
        <f t="shared" si="4"/>
        <v>0</v>
      </c>
      <c r="Q24" s="96">
        <f>IFERROR(P24*VLOOKUP(P24,CG!$B$16:$C$19,2,1),0)</f>
        <v>0</v>
      </c>
      <c r="R24" s="5">
        <f>(P24-Q24-S24)*VLOOKUP((P24-Q24-S24),CG!$E$16:$G$20,2,1)-VLOOKUP((P24-Q24-S24),CG!$E$16:$G$20,3,1)</f>
        <v>0</v>
      </c>
      <c r="S24" s="97"/>
      <c r="T24" s="97"/>
      <c r="U24" s="5">
        <f t="shared" si="5"/>
        <v>0</v>
      </c>
      <c r="V24" s="119"/>
      <c r="W24" s="120"/>
      <c r="X24" s="112" t="str">
        <f t="shared" si="0"/>
        <v>/</v>
      </c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</row>
    <row r="25" spans="2:37" ht="14.5">
      <c r="B25" s="4"/>
      <c r="C25" s="4"/>
      <c r="D25" s="4"/>
      <c r="E25" s="10"/>
      <c r="F25" s="10"/>
      <c r="G25" s="6"/>
      <c r="H25" s="4"/>
      <c r="I25" s="93"/>
      <c r="J25" s="93"/>
      <c r="K25" s="94">
        <f t="shared" si="1"/>
        <v>0</v>
      </c>
      <c r="L25" s="95"/>
      <c r="M25" s="94">
        <f t="shared" si="2"/>
        <v>0</v>
      </c>
      <c r="N25" s="95"/>
      <c r="O25" s="94">
        <f t="shared" si="3"/>
        <v>0</v>
      </c>
      <c r="P25" s="94">
        <f t="shared" si="4"/>
        <v>0</v>
      </c>
      <c r="Q25" s="96">
        <f>IFERROR(P25*VLOOKUP(P25,CG!$B$16:$C$19,2,1),0)</f>
        <v>0</v>
      </c>
      <c r="R25" s="5">
        <f>(P25-Q25-S25)*VLOOKUP((P25-Q25-S25),CG!$E$16:$G$20,2,1)-VLOOKUP((P25-Q25-S25),CG!$E$16:$G$20,3,1)</f>
        <v>0</v>
      </c>
      <c r="S25" s="97"/>
      <c r="T25" s="97"/>
      <c r="U25" s="5">
        <f t="shared" si="5"/>
        <v>0</v>
      </c>
      <c r="V25" s="119"/>
      <c r="W25" s="120"/>
      <c r="X25" s="112" t="str">
        <f t="shared" si="0"/>
        <v>/</v>
      </c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</row>
    <row r="26" spans="2:37" ht="14.5">
      <c r="B26" s="4"/>
      <c r="C26" s="4"/>
      <c r="D26" s="4"/>
      <c r="E26" s="10"/>
      <c r="F26" s="10"/>
      <c r="G26" s="6"/>
      <c r="H26" s="4"/>
      <c r="I26" s="93"/>
      <c r="J26" s="93"/>
      <c r="K26" s="94">
        <f t="shared" si="1"/>
        <v>0</v>
      </c>
      <c r="L26" s="95"/>
      <c r="M26" s="94">
        <f t="shared" si="2"/>
        <v>0</v>
      </c>
      <c r="N26" s="95"/>
      <c r="O26" s="94">
        <f t="shared" si="3"/>
        <v>0</v>
      </c>
      <c r="P26" s="94">
        <f t="shared" si="4"/>
        <v>0</v>
      </c>
      <c r="Q26" s="96">
        <f>IFERROR(P26*VLOOKUP(P26,CG!$B$16:$C$19,2,1),0)</f>
        <v>0</v>
      </c>
      <c r="R26" s="5">
        <f>(P26-Q26-S26)*VLOOKUP((P26-Q26-S26),CG!$E$16:$G$20,2,1)-VLOOKUP((P26-Q26-S26),CG!$E$16:$G$20,3,1)</f>
        <v>0</v>
      </c>
      <c r="S26" s="97"/>
      <c r="T26" s="97"/>
      <c r="U26" s="5">
        <f t="shared" si="5"/>
        <v>0</v>
      </c>
      <c r="V26" s="119"/>
      <c r="W26" s="120"/>
      <c r="X26" s="112" t="str">
        <f t="shared" si="0"/>
        <v>/</v>
      </c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</row>
    <row r="27" spans="2:37" ht="14.5">
      <c r="B27" s="4"/>
      <c r="C27" s="4"/>
      <c r="D27" s="4"/>
      <c r="E27" s="10"/>
      <c r="F27" s="10"/>
      <c r="G27" s="6"/>
      <c r="H27" s="4"/>
      <c r="I27" s="93"/>
      <c r="J27" s="93"/>
      <c r="K27" s="94">
        <f t="shared" si="1"/>
        <v>0</v>
      </c>
      <c r="L27" s="95"/>
      <c r="M27" s="94">
        <f t="shared" si="2"/>
        <v>0</v>
      </c>
      <c r="N27" s="95"/>
      <c r="O27" s="94">
        <f t="shared" si="3"/>
        <v>0</v>
      </c>
      <c r="P27" s="94">
        <f t="shared" si="4"/>
        <v>0</v>
      </c>
      <c r="Q27" s="96">
        <f>IFERROR(P27*VLOOKUP(P27,CG!$B$16:$C$19,2,1),0)</f>
        <v>0</v>
      </c>
      <c r="R27" s="5">
        <f>(P27-Q27-S27)*VLOOKUP((P27-Q27-S27),CG!$E$16:$G$20,2,1)-VLOOKUP((P27-Q27-S27),CG!$E$16:$G$20,3,1)</f>
        <v>0</v>
      </c>
      <c r="S27" s="97"/>
      <c r="T27" s="97"/>
      <c r="U27" s="5">
        <f t="shared" si="5"/>
        <v>0</v>
      </c>
      <c r="V27" s="119"/>
      <c r="W27" s="120"/>
      <c r="X27" s="112" t="str">
        <f t="shared" si="0"/>
        <v>/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</row>
    <row r="28" spans="2:37" ht="14.5">
      <c r="B28" s="4"/>
      <c r="C28" s="4"/>
      <c r="D28" s="4"/>
      <c r="E28" s="10"/>
      <c r="F28" s="10"/>
      <c r="G28" s="6"/>
      <c r="H28" s="4"/>
      <c r="I28" s="93"/>
      <c r="J28" s="93"/>
      <c r="K28" s="94">
        <f t="shared" si="1"/>
        <v>0</v>
      </c>
      <c r="L28" s="95"/>
      <c r="M28" s="94">
        <f t="shared" si="2"/>
        <v>0</v>
      </c>
      <c r="N28" s="95"/>
      <c r="O28" s="94">
        <f t="shared" si="3"/>
        <v>0</v>
      </c>
      <c r="P28" s="94">
        <f t="shared" si="4"/>
        <v>0</v>
      </c>
      <c r="Q28" s="96">
        <f>IFERROR(P28*VLOOKUP(P28,CG!$B$16:$C$19,2,1),0)</f>
        <v>0</v>
      </c>
      <c r="R28" s="5">
        <f>(P28-Q28-S28)*VLOOKUP((P28-Q28-S28),CG!$E$16:$G$20,2,1)-VLOOKUP((P28-Q28-S28),CG!$E$16:$G$20,3,1)</f>
        <v>0</v>
      </c>
      <c r="S28" s="97"/>
      <c r="T28" s="97"/>
      <c r="U28" s="5">
        <f t="shared" si="5"/>
        <v>0</v>
      </c>
      <c r="V28" s="119"/>
      <c r="W28" s="120"/>
      <c r="X28" s="112" t="str">
        <f t="shared" si="0"/>
        <v>/</v>
      </c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</row>
    <row r="29" spans="2:37" ht="14.5">
      <c r="B29" s="4"/>
      <c r="C29" s="4"/>
      <c r="D29" s="4"/>
      <c r="E29" s="10"/>
      <c r="F29" s="10"/>
      <c r="G29" s="6"/>
      <c r="H29" s="4"/>
      <c r="I29" s="93"/>
      <c r="J29" s="93"/>
      <c r="K29" s="94">
        <f t="shared" si="1"/>
        <v>0</v>
      </c>
      <c r="L29" s="95"/>
      <c r="M29" s="94">
        <f t="shared" si="2"/>
        <v>0</v>
      </c>
      <c r="N29" s="95"/>
      <c r="O29" s="94">
        <f t="shared" si="3"/>
        <v>0</v>
      </c>
      <c r="P29" s="94">
        <f t="shared" si="4"/>
        <v>0</v>
      </c>
      <c r="Q29" s="96">
        <f>IFERROR(P29*VLOOKUP(P29,CG!$B$16:$C$19,2,1),0)</f>
        <v>0</v>
      </c>
      <c r="R29" s="5">
        <f>(P29-Q29-S29)*VLOOKUP((P29-Q29-S29),CG!$E$16:$G$20,2,1)-VLOOKUP((P29-Q29-S29),CG!$E$16:$G$20,3,1)</f>
        <v>0</v>
      </c>
      <c r="S29" s="97"/>
      <c r="T29" s="97"/>
      <c r="U29" s="5">
        <f t="shared" si="5"/>
        <v>0</v>
      </c>
      <c r="V29" s="119"/>
      <c r="W29" s="120"/>
      <c r="X29" s="112" t="str">
        <f t="shared" si="0"/>
        <v>/</v>
      </c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</row>
    <row r="30" spans="2:37" ht="14.5">
      <c r="B30" s="4"/>
      <c r="C30" s="4"/>
      <c r="D30" s="4"/>
      <c r="E30" s="10"/>
      <c r="F30" s="10"/>
      <c r="G30" s="6"/>
      <c r="H30" s="4"/>
      <c r="I30" s="93"/>
      <c r="J30" s="93"/>
      <c r="K30" s="94">
        <f t="shared" si="1"/>
        <v>0</v>
      </c>
      <c r="L30" s="95"/>
      <c r="M30" s="94">
        <f t="shared" si="2"/>
        <v>0</v>
      </c>
      <c r="N30" s="95"/>
      <c r="O30" s="94">
        <f t="shared" si="3"/>
        <v>0</v>
      </c>
      <c r="P30" s="94">
        <f t="shared" si="4"/>
        <v>0</v>
      </c>
      <c r="Q30" s="96">
        <f>IFERROR(P30*VLOOKUP(P30,CG!$B$16:$C$19,2,1),0)</f>
        <v>0</v>
      </c>
      <c r="R30" s="5">
        <f>(P30-Q30-S30)*VLOOKUP((P30-Q30-S30),CG!$E$16:$G$20,2,1)-VLOOKUP((P30-Q30-S30),CG!$E$16:$G$20,3,1)</f>
        <v>0</v>
      </c>
      <c r="S30" s="97"/>
      <c r="T30" s="97"/>
      <c r="U30" s="5">
        <f t="shared" si="5"/>
        <v>0</v>
      </c>
      <c r="V30" s="119"/>
      <c r="W30" s="120"/>
      <c r="X30" s="112" t="str">
        <f t="shared" si="0"/>
        <v>/</v>
      </c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</row>
    <row r="31" spans="2:37" ht="14.5">
      <c r="B31" s="4"/>
      <c r="C31" s="4"/>
      <c r="D31" s="4"/>
      <c r="E31" s="10"/>
      <c r="F31" s="10"/>
      <c r="G31" s="6"/>
      <c r="H31" s="4"/>
      <c r="I31" s="93"/>
      <c r="J31" s="93"/>
      <c r="K31" s="94">
        <f t="shared" si="1"/>
        <v>0</v>
      </c>
      <c r="L31" s="95"/>
      <c r="M31" s="94">
        <f t="shared" si="2"/>
        <v>0</v>
      </c>
      <c r="N31" s="95"/>
      <c r="O31" s="94">
        <f t="shared" si="3"/>
        <v>0</v>
      </c>
      <c r="P31" s="94">
        <f t="shared" si="4"/>
        <v>0</v>
      </c>
      <c r="Q31" s="96">
        <f>IFERROR(P31*VLOOKUP(P31,CG!$B$16:$C$19,2,1),0)</f>
        <v>0</v>
      </c>
      <c r="R31" s="5">
        <f>(P31-Q31-S31)*VLOOKUP((P31-Q31-S31),CG!$E$16:$G$20,2,1)-VLOOKUP((P31-Q31-S31),CG!$E$16:$G$20,3,1)</f>
        <v>0</v>
      </c>
      <c r="S31" s="97"/>
      <c r="T31" s="97"/>
      <c r="U31" s="5">
        <f t="shared" si="5"/>
        <v>0</v>
      </c>
      <c r="V31" s="119"/>
      <c r="W31" s="120"/>
      <c r="X31" s="112" t="str">
        <f t="shared" si="0"/>
        <v>/</v>
      </c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</row>
    <row r="32" spans="2:37" ht="14.5">
      <c r="B32" s="4"/>
      <c r="C32" s="4"/>
      <c r="D32" s="4"/>
      <c r="E32" s="10"/>
      <c r="F32" s="10"/>
      <c r="G32" s="6"/>
      <c r="H32" s="4"/>
      <c r="I32" s="93"/>
      <c r="J32" s="93"/>
      <c r="K32" s="94">
        <f t="shared" si="1"/>
        <v>0</v>
      </c>
      <c r="L32" s="95"/>
      <c r="M32" s="94">
        <f t="shared" si="2"/>
        <v>0</v>
      </c>
      <c r="N32" s="95"/>
      <c r="O32" s="94">
        <f t="shared" si="3"/>
        <v>0</v>
      </c>
      <c r="P32" s="94">
        <f t="shared" si="4"/>
        <v>0</v>
      </c>
      <c r="Q32" s="96">
        <f>IFERROR(P32*VLOOKUP(P32,CG!$B$16:$C$19,2,1),0)</f>
        <v>0</v>
      </c>
      <c r="R32" s="5">
        <f>(P32-Q32-S32)*VLOOKUP((P32-Q32-S32),CG!$E$16:$G$20,2,1)-VLOOKUP((P32-Q32-S32),CG!$E$16:$G$20,3,1)</f>
        <v>0</v>
      </c>
      <c r="S32" s="97"/>
      <c r="T32" s="97"/>
      <c r="U32" s="5">
        <f t="shared" si="5"/>
        <v>0</v>
      </c>
      <c r="V32" s="119"/>
      <c r="W32" s="120"/>
      <c r="X32" s="112" t="str">
        <f t="shared" si="0"/>
        <v>/</v>
      </c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</row>
    <row r="33" spans="2:37" ht="14.5">
      <c r="B33" s="4"/>
      <c r="C33" s="4"/>
      <c r="D33" s="4"/>
      <c r="E33" s="10"/>
      <c r="F33" s="10"/>
      <c r="G33" s="6"/>
      <c r="H33" s="4"/>
      <c r="I33" s="93"/>
      <c r="J33" s="93"/>
      <c r="K33" s="94">
        <f t="shared" si="1"/>
        <v>0</v>
      </c>
      <c r="L33" s="95"/>
      <c r="M33" s="94">
        <f t="shared" si="2"/>
        <v>0</v>
      </c>
      <c r="N33" s="95"/>
      <c r="O33" s="94">
        <f t="shared" si="3"/>
        <v>0</v>
      </c>
      <c r="P33" s="94">
        <f t="shared" si="4"/>
        <v>0</v>
      </c>
      <c r="Q33" s="96">
        <f>IFERROR(P33*VLOOKUP(P33,CG!$B$16:$C$19,2,1),0)</f>
        <v>0</v>
      </c>
      <c r="R33" s="5">
        <f>(P33-Q33-S33)*VLOOKUP((P33-Q33-S33),CG!$E$16:$G$20,2,1)-VLOOKUP((P33-Q33-S33),CG!$E$16:$G$20,3,1)</f>
        <v>0</v>
      </c>
      <c r="S33" s="97"/>
      <c r="T33" s="97"/>
      <c r="U33" s="5">
        <f t="shared" si="5"/>
        <v>0</v>
      </c>
      <c r="V33" s="119"/>
      <c r="W33" s="120"/>
      <c r="X33" s="112" t="str">
        <f t="shared" si="0"/>
        <v>/</v>
      </c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</row>
    <row r="34" spans="2:37" ht="14.5" customHeight="1">
      <c r="B34" s="4"/>
      <c r="C34" s="4"/>
      <c r="D34" s="4"/>
      <c r="E34" s="10"/>
      <c r="F34" s="10"/>
      <c r="G34" s="6"/>
      <c r="H34" s="4"/>
      <c r="I34" s="93"/>
      <c r="J34" s="93"/>
      <c r="K34" s="94">
        <f t="shared" si="1"/>
        <v>0</v>
      </c>
      <c r="L34" s="95"/>
      <c r="M34" s="94">
        <f t="shared" si="2"/>
        <v>0</v>
      </c>
      <c r="N34" s="95"/>
      <c r="O34" s="94">
        <f t="shared" si="3"/>
        <v>0</v>
      </c>
      <c r="P34" s="94">
        <f t="shared" si="4"/>
        <v>0</v>
      </c>
      <c r="Q34" s="96">
        <f>IFERROR(P34*VLOOKUP(P34,CG!$B$16:$C$19,2,1),0)</f>
        <v>0</v>
      </c>
      <c r="R34" s="5">
        <f>(P34-Q34-S34)*VLOOKUP((P34-Q34-S34),CG!$E$16:$G$20,2,1)-VLOOKUP((P34-Q34-S34),CG!$E$16:$G$20,3,1)</f>
        <v>0</v>
      </c>
      <c r="S34" s="97"/>
      <c r="T34" s="97"/>
      <c r="U34" s="5">
        <f t="shared" si="5"/>
        <v>0</v>
      </c>
      <c r="V34" s="119"/>
      <c r="W34" s="120"/>
      <c r="X34" s="112" t="str">
        <f t="shared" si="0"/>
        <v>/</v>
      </c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</row>
    <row r="35" spans="2:37" ht="14.5" customHeight="1">
      <c r="B35" s="4"/>
      <c r="C35" s="4"/>
      <c r="D35" s="4"/>
      <c r="E35" s="10"/>
      <c r="F35" s="10"/>
      <c r="G35" s="6"/>
      <c r="H35" s="4"/>
      <c r="I35" s="93"/>
      <c r="J35" s="93"/>
      <c r="K35" s="94">
        <f t="shared" si="1"/>
        <v>0</v>
      </c>
      <c r="L35" s="95"/>
      <c r="M35" s="94">
        <f t="shared" si="2"/>
        <v>0</v>
      </c>
      <c r="N35" s="95"/>
      <c r="O35" s="94">
        <f t="shared" si="3"/>
        <v>0</v>
      </c>
      <c r="P35" s="94">
        <f t="shared" si="4"/>
        <v>0</v>
      </c>
      <c r="Q35" s="96">
        <f>IFERROR(P35*VLOOKUP(P35,CG!$B$16:$C$19,2,1),0)</f>
        <v>0</v>
      </c>
      <c r="R35" s="5">
        <f>(P35-Q35-S35)*VLOOKUP((P35-Q35-S35),CG!$E$16:$G$20,2,1)-VLOOKUP((P35-Q35-S35),CG!$E$16:$G$20,3,1)</f>
        <v>0</v>
      </c>
      <c r="S35" s="97"/>
      <c r="T35" s="97"/>
      <c r="U35" s="5">
        <f t="shared" si="5"/>
        <v>0</v>
      </c>
      <c r="V35" s="119"/>
      <c r="W35" s="120"/>
      <c r="X35" s="112" t="str">
        <f t="shared" si="0"/>
        <v>/</v>
      </c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</row>
    <row r="36" spans="2:37" ht="14.5" customHeight="1">
      <c r="B36" s="4"/>
      <c r="C36" s="4"/>
      <c r="D36" s="4"/>
      <c r="E36" s="10"/>
      <c r="F36" s="10"/>
      <c r="G36" s="6"/>
      <c r="H36" s="4"/>
      <c r="I36" s="93"/>
      <c r="J36" s="93"/>
      <c r="K36" s="94">
        <f t="shared" si="1"/>
        <v>0</v>
      </c>
      <c r="L36" s="95"/>
      <c r="M36" s="94">
        <f t="shared" si="2"/>
        <v>0</v>
      </c>
      <c r="N36" s="95"/>
      <c r="O36" s="94">
        <f t="shared" si="3"/>
        <v>0</v>
      </c>
      <c r="P36" s="94">
        <f t="shared" si="4"/>
        <v>0</v>
      </c>
      <c r="Q36" s="96">
        <f>IFERROR(P36*VLOOKUP(P36,CG!$B$16:$C$19,2,1),0)</f>
        <v>0</v>
      </c>
      <c r="R36" s="5">
        <f>(P36-Q36-S36)*VLOOKUP((P36-Q36-S36),CG!$E$16:$G$20,2,1)-VLOOKUP((P36-Q36-S36),CG!$E$16:$G$20,3,1)</f>
        <v>0</v>
      </c>
      <c r="S36" s="97"/>
      <c r="T36" s="97"/>
      <c r="U36" s="5">
        <f t="shared" si="5"/>
        <v>0</v>
      </c>
      <c r="V36" s="119"/>
      <c r="W36" s="120"/>
      <c r="X36" s="112" t="str">
        <f t="shared" si="0"/>
        <v>/</v>
      </c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</row>
    <row r="37" spans="2:37" ht="14.5" customHeight="1">
      <c r="B37" s="4"/>
      <c r="C37" s="4"/>
      <c r="D37" s="4"/>
      <c r="E37" s="10"/>
      <c r="F37" s="10"/>
      <c r="G37" s="6"/>
      <c r="H37" s="4"/>
      <c r="I37" s="93"/>
      <c r="J37" s="93"/>
      <c r="K37" s="94">
        <f t="shared" si="1"/>
        <v>0</v>
      </c>
      <c r="L37" s="95"/>
      <c r="M37" s="94">
        <f t="shared" si="2"/>
        <v>0</v>
      </c>
      <c r="N37" s="95"/>
      <c r="O37" s="94">
        <f t="shared" si="3"/>
        <v>0</v>
      </c>
      <c r="P37" s="94">
        <f t="shared" si="4"/>
        <v>0</v>
      </c>
      <c r="Q37" s="96">
        <f>IFERROR(P37*VLOOKUP(P37,CG!$B$16:$C$19,2,1),0)</f>
        <v>0</v>
      </c>
      <c r="R37" s="5">
        <f>(P37-Q37-S37)*VLOOKUP((P37-Q37-S37),CG!$E$16:$G$20,2,1)-VLOOKUP((P37-Q37-S37),CG!$E$16:$G$20,3,1)</f>
        <v>0</v>
      </c>
      <c r="S37" s="97"/>
      <c r="T37" s="97"/>
      <c r="U37" s="5">
        <f t="shared" si="5"/>
        <v>0</v>
      </c>
      <c r="V37" s="119"/>
      <c r="W37" s="120"/>
      <c r="X37" s="112" t="str">
        <f t="shared" si="0"/>
        <v>/</v>
      </c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</row>
    <row r="38" spans="2:37" ht="14.5" customHeight="1">
      <c r="B38" s="4"/>
      <c r="C38" s="4"/>
      <c r="D38" s="4"/>
      <c r="E38" s="10"/>
      <c r="F38" s="10"/>
      <c r="G38" s="6"/>
      <c r="H38" s="4"/>
      <c r="I38" s="93"/>
      <c r="J38" s="93"/>
      <c r="K38" s="94">
        <f t="shared" si="1"/>
        <v>0</v>
      </c>
      <c r="L38" s="95"/>
      <c r="M38" s="94">
        <f t="shared" si="2"/>
        <v>0</v>
      </c>
      <c r="N38" s="95"/>
      <c r="O38" s="94">
        <f t="shared" si="3"/>
        <v>0</v>
      </c>
      <c r="P38" s="94">
        <f t="shared" si="4"/>
        <v>0</v>
      </c>
      <c r="Q38" s="96">
        <f>IFERROR(P38*VLOOKUP(P38,CG!$B$16:$C$19,2,1),0)</f>
        <v>0</v>
      </c>
      <c r="R38" s="5">
        <f>(P38-Q38-S38)*VLOOKUP((P38-Q38-S38),CG!$E$16:$G$20,2,1)-VLOOKUP((P38-Q38-S38),CG!$E$16:$G$20,3,1)</f>
        <v>0</v>
      </c>
      <c r="S38" s="97"/>
      <c r="T38" s="97"/>
      <c r="U38" s="5">
        <f t="shared" si="5"/>
        <v>0</v>
      </c>
      <c r="V38" s="119"/>
      <c r="W38" s="120"/>
      <c r="X38" s="112" t="str">
        <f t="shared" si="0"/>
        <v>/</v>
      </c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</row>
    <row r="39" spans="2:37" ht="14.5" customHeight="1">
      <c r="B39" s="4"/>
      <c r="C39" s="4"/>
      <c r="D39" s="4"/>
      <c r="E39" s="10"/>
      <c r="F39" s="10"/>
      <c r="G39" s="6"/>
      <c r="H39" s="4"/>
      <c r="I39" s="93"/>
      <c r="J39" s="93"/>
      <c r="K39" s="94">
        <f t="shared" si="1"/>
        <v>0</v>
      </c>
      <c r="L39" s="95"/>
      <c r="M39" s="94">
        <f t="shared" si="2"/>
        <v>0</v>
      </c>
      <c r="N39" s="95"/>
      <c r="O39" s="94">
        <f t="shared" si="3"/>
        <v>0</v>
      </c>
      <c r="P39" s="94">
        <f t="shared" si="4"/>
        <v>0</v>
      </c>
      <c r="Q39" s="96">
        <f>IFERROR(P39*VLOOKUP(P39,CG!$B$16:$C$19,2,1),0)</f>
        <v>0</v>
      </c>
      <c r="R39" s="5">
        <f>(P39-Q39-S39)*VLOOKUP((P39-Q39-S39),CG!$E$16:$G$20,2,1)-VLOOKUP((P39-Q39-S39),CG!$E$16:$G$20,3,1)</f>
        <v>0</v>
      </c>
      <c r="S39" s="97"/>
      <c r="T39" s="97"/>
      <c r="U39" s="5">
        <f t="shared" si="5"/>
        <v>0</v>
      </c>
      <c r="V39" s="119"/>
      <c r="W39" s="120"/>
      <c r="X39" s="112" t="str">
        <f t="shared" si="0"/>
        <v>/</v>
      </c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</row>
    <row r="40" spans="2:37" ht="14.5" customHeight="1">
      <c r="B40" s="4"/>
      <c r="C40" s="4"/>
      <c r="D40" s="4"/>
      <c r="E40" s="10"/>
      <c r="F40" s="10"/>
      <c r="G40" s="6"/>
      <c r="H40" s="4"/>
      <c r="I40" s="93"/>
      <c r="J40" s="93"/>
      <c r="K40" s="94">
        <f t="shared" si="1"/>
        <v>0</v>
      </c>
      <c r="L40" s="95"/>
      <c r="M40" s="94">
        <f t="shared" si="2"/>
        <v>0</v>
      </c>
      <c r="N40" s="95"/>
      <c r="O40" s="94">
        <f t="shared" si="3"/>
        <v>0</v>
      </c>
      <c r="P40" s="94">
        <f t="shared" si="4"/>
        <v>0</v>
      </c>
      <c r="Q40" s="96">
        <f>IFERROR(P40*VLOOKUP(P40,CG!$B$16:$C$19,2,1),0)</f>
        <v>0</v>
      </c>
      <c r="R40" s="5">
        <f>(P40-Q40-S40)*VLOOKUP((P40-Q40-S40),CG!$E$16:$G$20,2,1)-VLOOKUP((P40-Q40-S40),CG!$E$16:$G$20,3,1)</f>
        <v>0</v>
      </c>
      <c r="S40" s="97"/>
      <c r="T40" s="97"/>
      <c r="U40" s="5">
        <f t="shared" si="5"/>
        <v>0</v>
      </c>
      <c r="V40" s="119"/>
      <c r="W40" s="120"/>
      <c r="X40" s="112" t="str">
        <f t="shared" si="0"/>
        <v>/</v>
      </c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</row>
    <row r="41" spans="2:37" ht="14.5" customHeight="1">
      <c r="B41" s="4"/>
      <c r="C41" s="4"/>
      <c r="D41" s="4"/>
      <c r="E41" s="10"/>
      <c r="F41" s="10"/>
      <c r="G41" s="6"/>
      <c r="H41" s="4"/>
      <c r="I41" s="93"/>
      <c r="J41" s="93"/>
      <c r="K41" s="94">
        <f t="shared" si="1"/>
        <v>0</v>
      </c>
      <c r="L41" s="95"/>
      <c r="M41" s="94">
        <f t="shared" si="2"/>
        <v>0</v>
      </c>
      <c r="N41" s="95"/>
      <c r="O41" s="94">
        <f t="shared" si="3"/>
        <v>0</v>
      </c>
      <c r="P41" s="94">
        <f t="shared" si="4"/>
        <v>0</v>
      </c>
      <c r="Q41" s="96">
        <f>IFERROR(P41*VLOOKUP(P41,CG!$B$16:$C$19,2,1),0)</f>
        <v>0</v>
      </c>
      <c r="R41" s="5">
        <f>(P41-Q41-S41)*VLOOKUP((P41-Q41-S41),CG!$E$16:$G$20,2,1)-VLOOKUP((P41-Q41-S41),CG!$E$16:$G$20,3,1)</f>
        <v>0</v>
      </c>
      <c r="S41" s="97"/>
      <c r="T41" s="97"/>
      <c r="U41" s="5">
        <f t="shared" si="5"/>
        <v>0</v>
      </c>
      <c r="V41" s="119"/>
      <c r="W41" s="120"/>
      <c r="X41" s="112" t="str">
        <f t="shared" si="0"/>
        <v>/</v>
      </c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</row>
    <row r="42" spans="2:37" ht="14.5" customHeight="1">
      <c r="B42" s="4"/>
      <c r="C42" s="4"/>
      <c r="D42" s="4"/>
      <c r="E42" s="10"/>
      <c r="F42" s="10"/>
      <c r="G42" s="6"/>
      <c r="H42" s="4"/>
      <c r="I42" s="93"/>
      <c r="J42" s="93"/>
      <c r="K42" s="94">
        <f t="shared" si="1"/>
        <v>0</v>
      </c>
      <c r="L42" s="95"/>
      <c r="M42" s="94">
        <f t="shared" si="2"/>
        <v>0</v>
      </c>
      <c r="N42" s="95"/>
      <c r="O42" s="94">
        <f t="shared" si="3"/>
        <v>0</v>
      </c>
      <c r="P42" s="94">
        <f t="shared" si="4"/>
        <v>0</v>
      </c>
      <c r="Q42" s="96">
        <f>IFERROR(P42*VLOOKUP(P42,CG!$B$16:$C$19,2,1),0)</f>
        <v>0</v>
      </c>
      <c r="R42" s="5">
        <f>(P42-Q42-S42)*VLOOKUP((P42-Q42-S42),CG!$E$16:$G$20,2,1)-VLOOKUP((P42-Q42-S42),CG!$E$16:$G$20,3,1)</f>
        <v>0</v>
      </c>
      <c r="S42" s="97"/>
      <c r="T42" s="97"/>
      <c r="U42" s="5">
        <f t="shared" si="5"/>
        <v>0</v>
      </c>
      <c r="V42" s="119"/>
      <c r="W42" s="120"/>
      <c r="X42" s="112" t="str">
        <f t="shared" si="0"/>
        <v>/</v>
      </c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</row>
    <row r="43" spans="2:37" ht="14.5" customHeight="1">
      <c r="B43" s="4"/>
      <c r="C43" s="4"/>
      <c r="D43" s="4"/>
      <c r="E43" s="10"/>
      <c r="F43" s="10"/>
      <c r="G43" s="6"/>
      <c r="H43" s="4"/>
      <c r="I43" s="93"/>
      <c r="J43" s="93"/>
      <c r="K43" s="94">
        <f t="shared" si="1"/>
        <v>0</v>
      </c>
      <c r="L43" s="95"/>
      <c r="M43" s="94">
        <f t="shared" si="2"/>
        <v>0</v>
      </c>
      <c r="N43" s="95"/>
      <c r="O43" s="94">
        <f t="shared" si="3"/>
        <v>0</v>
      </c>
      <c r="P43" s="94">
        <f t="shared" si="4"/>
        <v>0</v>
      </c>
      <c r="Q43" s="96">
        <f>IFERROR(P43*VLOOKUP(P43,CG!$B$16:$C$19,2,1),0)</f>
        <v>0</v>
      </c>
      <c r="R43" s="5">
        <f>(P43-Q43-S43)*VLOOKUP((P43-Q43-S43),CG!$E$16:$G$20,2,1)-VLOOKUP((P43-Q43-S43),CG!$E$16:$G$20,3,1)</f>
        <v>0</v>
      </c>
      <c r="S43" s="97"/>
      <c r="T43" s="97"/>
      <c r="U43" s="5">
        <f t="shared" si="5"/>
        <v>0</v>
      </c>
      <c r="V43" s="119"/>
      <c r="W43" s="120"/>
      <c r="X43" s="112" t="str">
        <f t="shared" si="0"/>
        <v>/</v>
      </c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</row>
    <row r="44" spans="2:37" ht="14.5" customHeight="1">
      <c r="B44" s="4"/>
      <c r="C44" s="4"/>
      <c r="D44" s="4"/>
      <c r="E44" s="10"/>
      <c r="F44" s="10"/>
      <c r="G44" s="6"/>
      <c r="H44" s="4"/>
      <c r="I44" s="93"/>
      <c r="J44" s="93"/>
      <c r="K44" s="94">
        <f t="shared" si="1"/>
        <v>0</v>
      </c>
      <c r="L44" s="95"/>
      <c r="M44" s="94">
        <f t="shared" si="2"/>
        <v>0</v>
      </c>
      <c r="N44" s="95"/>
      <c r="O44" s="94">
        <f t="shared" si="3"/>
        <v>0</v>
      </c>
      <c r="P44" s="94">
        <f t="shared" si="4"/>
        <v>0</v>
      </c>
      <c r="Q44" s="96">
        <f>IFERROR(P44*VLOOKUP(P44,CG!$B$16:$C$19,2,1),0)</f>
        <v>0</v>
      </c>
      <c r="R44" s="5">
        <f>(P44-Q44-S44)*VLOOKUP((P44-Q44-S44),CG!$E$16:$G$20,2,1)-VLOOKUP((P44-Q44-S44),CG!$E$16:$G$20,3,1)</f>
        <v>0</v>
      </c>
      <c r="S44" s="97"/>
      <c r="T44" s="97"/>
      <c r="U44" s="5">
        <f t="shared" si="5"/>
        <v>0</v>
      </c>
      <c r="V44" s="119"/>
      <c r="W44" s="120"/>
      <c r="X44" s="112" t="str">
        <f t="shared" si="0"/>
        <v>/</v>
      </c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</row>
    <row r="45" spans="2:37" ht="14.5" customHeight="1">
      <c r="B45" s="4"/>
      <c r="C45" s="4"/>
      <c r="D45" s="4"/>
      <c r="E45" s="10"/>
      <c r="F45" s="10"/>
      <c r="G45" s="6"/>
      <c r="H45" s="4"/>
      <c r="I45" s="93"/>
      <c r="J45" s="93"/>
      <c r="K45" s="94">
        <f t="shared" si="1"/>
        <v>0</v>
      </c>
      <c r="L45" s="95"/>
      <c r="M45" s="94">
        <f t="shared" si="2"/>
        <v>0</v>
      </c>
      <c r="N45" s="95"/>
      <c r="O45" s="94">
        <f t="shared" si="3"/>
        <v>0</v>
      </c>
      <c r="P45" s="94">
        <f t="shared" si="4"/>
        <v>0</v>
      </c>
      <c r="Q45" s="96">
        <f>IFERROR(P45*VLOOKUP(P45,CG!$B$16:$C$19,2,1),0)</f>
        <v>0</v>
      </c>
      <c r="R45" s="5">
        <f>(P45-Q45-S45)*VLOOKUP((P45-Q45-S45),CG!$E$16:$G$20,2,1)-VLOOKUP((P45-Q45-S45),CG!$E$16:$G$20,3,1)</f>
        <v>0</v>
      </c>
      <c r="S45" s="97"/>
      <c r="T45" s="97"/>
      <c r="U45" s="5">
        <f t="shared" si="5"/>
        <v>0</v>
      </c>
      <c r="V45" s="119"/>
      <c r="W45" s="120"/>
      <c r="X45" s="112" t="str">
        <f t="shared" si="0"/>
        <v>/</v>
      </c>
      <c r="Z45" s="118"/>
      <c r="AA45" s="118"/>
      <c r="AB45" s="118"/>
      <c r="AC45" s="118"/>
      <c r="AD45" s="118"/>
      <c r="AE45" s="118"/>
      <c r="AF45" s="118"/>
      <c r="AG45" s="118"/>
      <c r="AH45" s="118"/>
      <c r="AI45" s="118"/>
      <c r="AJ45" s="118"/>
      <c r="AK45" s="118"/>
    </row>
    <row r="46" spans="2:37" ht="14.5" customHeight="1">
      <c r="B46" s="4"/>
      <c r="C46" s="4"/>
      <c r="D46" s="4"/>
      <c r="E46" s="10"/>
      <c r="F46" s="10"/>
      <c r="G46" s="6"/>
      <c r="H46" s="4"/>
      <c r="I46" s="93"/>
      <c r="J46" s="93"/>
      <c r="K46" s="94">
        <f t="shared" si="1"/>
        <v>0</v>
      </c>
      <c r="L46" s="95"/>
      <c r="M46" s="94">
        <f t="shared" si="2"/>
        <v>0</v>
      </c>
      <c r="N46" s="95"/>
      <c r="O46" s="94">
        <f t="shared" si="3"/>
        <v>0</v>
      </c>
      <c r="P46" s="94">
        <f t="shared" si="4"/>
        <v>0</v>
      </c>
      <c r="Q46" s="96">
        <f>IFERROR(P46*VLOOKUP(P46,CG!$B$16:$C$19,2,1),0)</f>
        <v>0</v>
      </c>
      <c r="R46" s="5">
        <f>(P46-Q46-S46)*VLOOKUP((P46-Q46-S46),CG!$E$16:$G$20,2,1)-VLOOKUP((P46-Q46-S46),CG!$E$16:$G$20,3,1)</f>
        <v>0</v>
      </c>
      <c r="S46" s="97"/>
      <c r="T46" s="97"/>
      <c r="U46" s="5">
        <f t="shared" si="5"/>
        <v>0</v>
      </c>
      <c r="V46" s="119"/>
      <c r="W46" s="120"/>
      <c r="X46" s="112" t="str">
        <f t="shared" si="0"/>
        <v>/</v>
      </c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</row>
    <row r="47" spans="2:37" ht="14.5" customHeight="1">
      <c r="B47" s="4"/>
      <c r="C47" s="4"/>
      <c r="D47" s="4"/>
      <c r="E47" s="10"/>
      <c r="F47" s="10"/>
      <c r="G47" s="6"/>
      <c r="H47" s="4"/>
      <c r="I47" s="93"/>
      <c r="J47" s="93"/>
      <c r="K47" s="94">
        <f t="shared" si="1"/>
        <v>0</v>
      </c>
      <c r="L47" s="95"/>
      <c r="M47" s="94">
        <f t="shared" si="2"/>
        <v>0</v>
      </c>
      <c r="N47" s="95"/>
      <c r="O47" s="94">
        <f t="shared" si="3"/>
        <v>0</v>
      </c>
      <c r="P47" s="94">
        <f t="shared" si="4"/>
        <v>0</v>
      </c>
      <c r="Q47" s="96">
        <f>IFERROR(P47*VLOOKUP(P47,CG!$B$16:$C$19,2,1),0)</f>
        <v>0</v>
      </c>
      <c r="R47" s="5">
        <f>(P47-Q47-S47)*VLOOKUP((P47-Q47-S47),CG!$E$16:$G$20,2,1)-VLOOKUP((P47-Q47-S47),CG!$E$16:$G$20,3,1)</f>
        <v>0</v>
      </c>
      <c r="S47" s="97"/>
      <c r="T47" s="97"/>
      <c r="U47" s="5">
        <f t="shared" si="5"/>
        <v>0</v>
      </c>
      <c r="V47" s="119"/>
      <c r="W47" s="120"/>
      <c r="X47" s="112" t="str">
        <f t="shared" si="0"/>
        <v>/</v>
      </c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</row>
    <row r="48" spans="2:37" ht="14.5" customHeight="1">
      <c r="B48" s="4"/>
      <c r="C48" s="4"/>
      <c r="D48" s="4"/>
      <c r="E48" s="10"/>
      <c r="F48" s="10"/>
      <c r="G48" s="6"/>
      <c r="H48" s="4"/>
      <c r="I48" s="93"/>
      <c r="J48" s="93"/>
      <c r="K48" s="94">
        <f t="shared" si="1"/>
        <v>0</v>
      </c>
      <c r="L48" s="95"/>
      <c r="M48" s="94">
        <f t="shared" si="2"/>
        <v>0</v>
      </c>
      <c r="N48" s="95"/>
      <c r="O48" s="94">
        <f t="shared" si="3"/>
        <v>0</v>
      </c>
      <c r="P48" s="94">
        <f t="shared" si="4"/>
        <v>0</v>
      </c>
      <c r="Q48" s="96">
        <f>IFERROR(P48*VLOOKUP(P48,CG!$B$16:$C$19,2,1),0)</f>
        <v>0</v>
      </c>
      <c r="R48" s="5">
        <f>(P48-Q48-S48)*VLOOKUP((P48-Q48-S48),CG!$E$16:$G$20,2,1)-VLOOKUP((P48-Q48-S48),CG!$E$16:$G$20,3,1)</f>
        <v>0</v>
      </c>
      <c r="S48" s="97"/>
      <c r="T48" s="97"/>
      <c r="U48" s="5">
        <f t="shared" si="5"/>
        <v>0</v>
      </c>
      <c r="V48" s="119"/>
      <c r="W48" s="120"/>
      <c r="X48" s="112" t="str">
        <f t="shared" si="0"/>
        <v>/</v>
      </c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</row>
    <row r="49" spans="2:37" ht="14.5" customHeight="1">
      <c r="B49" s="4"/>
      <c r="C49" s="4"/>
      <c r="D49" s="4"/>
      <c r="E49" s="10"/>
      <c r="F49" s="10"/>
      <c r="G49" s="6"/>
      <c r="H49" s="4"/>
      <c r="I49" s="93"/>
      <c r="J49" s="93"/>
      <c r="K49" s="94">
        <f t="shared" si="1"/>
        <v>0</v>
      </c>
      <c r="L49" s="95"/>
      <c r="M49" s="94">
        <f t="shared" si="2"/>
        <v>0</v>
      </c>
      <c r="N49" s="95"/>
      <c r="O49" s="94">
        <f t="shared" si="3"/>
        <v>0</v>
      </c>
      <c r="P49" s="94">
        <f t="shared" si="4"/>
        <v>0</v>
      </c>
      <c r="Q49" s="96">
        <f>IFERROR(P49*VLOOKUP(P49,CG!$B$16:$C$19,2,1),0)</f>
        <v>0</v>
      </c>
      <c r="R49" s="5">
        <f>(P49-Q49-S49)*VLOOKUP((P49-Q49-S49),CG!$E$16:$G$20,2,1)-VLOOKUP((P49-Q49-S49),CG!$E$16:$G$20,3,1)</f>
        <v>0</v>
      </c>
      <c r="S49" s="97"/>
      <c r="T49" s="97"/>
      <c r="U49" s="5">
        <f t="shared" si="5"/>
        <v>0</v>
      </c>
      <c r="V49" s="119"/>
      <c r="W49" s="120"/>
      <c r="X49" s="112" t="str">
        <f t="shared" si="0"/>
        <v>/</v>
      </c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</row>
    <row r="50" spans="2:37" ht="14.5" customHeight="1">
      <c r="B50" s="4"/>
      <c r="C50" s="4"/>
      <c r="D50" s="4"/>
      <c r="E50" s="10"/>
      <c r="F50" s="10"/>
      <c r="G50" s="6"/>
      <c r="H50" s="4"/>
      <c r="I50" s="93"/>
      <c r="J50" s="93"/>
      <c r="K50" s="94">
        <f t="shared" si="1"/>
        <v>0</v>
      </c>
      <c r="L50" s="95"/>
      <c r="M50" s="94">
        <f t="shared" si="2"/>
        <v>0</v>
      </c>
      <c r="N50" s="95"/>
      <c r="O50" s="94">
        <f t="shared" si="3"/>
        <v>0</v>
      </c>
      <c r="P50" s="94">
        <f t="shared" si="4"/>
        <v>0</v>
      </c>
      <c r="Q50" s="96">
        <f>IFERROR(P50*VLOOKUP(P50,CG!$B$16:$C$19,2,1),0)</f>
        <v>0</v>
      </c>
      <c r="R50" s="5">
        <f>(P50-Q50-S50)*VLOOKUP((P50-Q50-S50),CG!$E$16:$G$20,2,1)-VLOOKUP((P50-Q50-S50),CG!$E$16:$G$20,3,1)</f>
        <v>0</v>
      </c>
      <c r="S50" s="97"/>
      <c r="T50" s="97"/>
      <c r="U50" s="5">
        <f t="shared" si="5"/>
        <v>0</v>
      </c>
      <c r="V50" s="119"/>
      <c r="W50" s="120"/>
      <c r="X50" s="112" t="str">
        <f t="shared" si="0"/>
        <v>/</v>
      </c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</row>
    <row r="51" spans="2:37" ht="14.5" customHeight="1">
      <c r="B51" s="4"/>
      <c r="C51" s="4"/>
      <c r="D51" s="4"/>
      <c r="E51" s="10"/>
      <c r="F51" s="10"/>
      <c r="G51" s="6"/>
      <c r="H51" s="4"/>
      <c r="I51" s="93"/>
      <c r="J51" s="93"/>
      <c r="K51" s="94">
        <f t="shared" si="1"/>
        <v>0</v>
      </c>
      <c r="L51" s="95"/>
      <c r="M51" s="94">
        <f t="shared" si="2"/>
        <v>0</v>
      </c>
      <c r="N51" s="95"/>
      <c r="O51" s="94">
        <f t="shared" si="3"/>
        <v>0</v>
      </c>
      <c r="P51" s="94">
        <f t="shared" si="4"/>
        <v>0</v>
      </c>
      <c r="Q51" s="96">
        <f>IFERROR(P51*VLOOKUP(P51,CG!$B$16:$C$19,2,1),0)</f>
        <v>0</v>
      </c>
      <c r="R51" s="5">
        <f>(P51-Q51-S51)*VLOOKUP((P51-Q51-S51),CG!$E$16:$G$20,2,1)-VLOOKUP((P51-Q51-S51),CG!$E$16:$G$20,3,1)</f>
        <v>0</v>
      </c>
      <c r="S51" s="97"/>
      <c r="T51" s="97"/>
      <c r="U51" s="5">
        <f t="shared" si="5"/>
        <v>0</v>
      </c>
      <c r="V51" s="119"/>
      <c r="W51" s="120"/>
      <c r="X51" s="112" t="str">
        <f t="shared" si="0"/>
        <v>/</v>
      </c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</row>
    <row r="52" spans="2:37" ht="14.5" customHeight="1">
      <c r="B52" s="4"/>
      <c r="C52" s="4"/>
      <c r="D52" s="4"/>
      <c r="E52" s="10"/>
      <c r="F52" s="10"/>
      <c r="G52" s="6"/>
      <c r="H52" s="4"/>
      <c r="I52" s="93"/>
      <c r="J52" s="93"/>
      <c r="K52" s="94">
        <f t="shared" si="1"/>
        <v>0</v>
      </c>
      <c r="L52" s="95"/>
      <c r="M52" s="94">
        <f t="shared" si="2"/>
        <v>0</v>
      </c>
      <c r="N52" s="95"/>
      <c r="O52" s="94">
        <f t="shared" si="3"/>
        <v>0</v>
      </c>
      <c r="P52" s="94">
        <f t="shared" si="4"/>
        <v>0</v>
      </c>
      <c r="Q52" s="96">
        <f>IFERROR(P52*VLOOKUP(P52,CG!$B$16:$C$19,2,1),0)</f>
        <v>0</v>
      </c>
      <c r="R52" s="5">
        <f>(P52-Q52-S52)*VLOOKUP((P52-Q52-S52),CG!$E$16:$G$20,2,1)-VLOOKUP((P52-Q52-S52),CG!$E$16:$G$20,3,1)</f>
        <v>0</v>
      </c>
      <c r="S52" s="97"/>
      <c r="T52" s="97"/>
      <c r="U52" s="5">
        <f t="shared" si="5"/>
        <v>0</v>
      </c>
      <c r="V52" s="119"/>
      <c r="W52" s="120"/>
      <c r="X52" s="112" t="str">
        <f t="shared" si="0"/>
        <v>/</v>
      </c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</row>
    <row r="53" spans="2:37" ht="14.5" customHeight="1">
      <c r="B53" s="4"/>
      <c r="C53" s="4"/>
      <c r="D53" s="4"/>
      <c r="E53" s="10"/>
      <c r="F53" s="10"/>
      <c r="G53" s="6"/>
      <c r="H53" s="4"/>
      <c r="I53" s="93"/>
      <c r="J53" s="93"/>
      <c r="K53" s="94">
        <f t="shared" si="1"/>
        <v>0</v>
      </c>
      <c r="L53" s="95"/>
      <c r="M53" s="94">
        <f t="shared" si="2"/>
        <v>0</v>
      </c>
      <c r="N53" s="95"/>
      <c r="O53" s="94">
        <f t="shared" si="3"/>
        <v>0</v>
      </c>
      <c r="P53" s="94">
        <f t="shared" si="4"/>
        <v>0</v>
      </c>
      <c r="Q53" s="96">
        <f>IFERROR(P53*VLOOKUP(P53,CG!$B$16:$C$19,2,1),0)</f>
        <v>0</v>
      </c>
      <c r="R53" s="5">
        <f>(P53-Q53-S53)*VLOOKUP((P53-Q53-S53),CG!$E$16:$G$20,2,1)-VLOOKUP((P53-Q53-S53),CG!$E$16:$G$20,3,1)</f>
        <v>0</v>
      </c>
      <c r="S53" s="97"/>
      <c r="T53" s="97"/>
      <c r="U53" s="5">
        <f t="shared" si="5"/>
        <v>0</v>
      </c>
      <c r="V53" s="119"/>
      <c r="W53" s="120"/>
      <c r="X53" s="112" t="str">
        <f t="shared" si="0"/>
        <v>/</v>
      </c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</row>
    <row r="54" spans="2:37" ht="14.5" customHeight="1">
      <c r="B54" s="4"/>
      <c r="C54" s="4"/>
      <c r="D54" s="4"/>
      <c r="E54" s="10"/>
      <c r="F54" s="10"/>
      <c r="G54" s="6"/>
      <c r="H54" s="4"/>
      <c r="I54" s="93"/>
      <c r="J54" s="93"/>
      <c r="K54" s="94">
        <f t="shared" si="1"/>
        <v>0</v>
      </c>
      <c r="L54" s="95"/>
      <c r="M54" s="94">
        <f t="shared" si="2"/>
        <v>0</v>
      </c>
      <c r="N54" s="95"/>
      <c r="O54" s="94">
        <f t="shared" si="3"/>
        <v>0</v>
      </c>
      <c r="P54" s="94">
        <f t="shared" si="4"/>
        <v>0</v>
      </c>
      <c r="Q54" s="96">
        <f>IFERROR(P54*VLOOKUP(P54,CG!$B$16:$C$19,2,1),0)</f>
        <v>0</v>
      </c>
      <c r="R54" s="5">
        <f>(P54-Q54-S54)*VLOOKUP((P54-Q54-S54),CG!$E$16:$G$20,2,1)-VLOOKUP((P54-Q54-S54),CG!$E$16:$G$20,3,1)</f>
        <v>0</v>
      </c>
      <c r="S54" s="97"/>
      <c r="T54" s="97"/>
      <c r="U54" s="5">
        <f t="shared" si="5"/>
        <v>0</v>
      </c>
      <c r="V54" s="119"/>
      <c r="W54" s="120"/>
      <c r="X54" s="112" t="str">
        <f t="shared" si="0"/>
        <v>/</v>
      </c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</row>
    <row r="55" spans="2:37" ht="14.5" customHeight="1">
      <c r="B55" s="4"/>
      <c r="C55" s="4"/>
      <c r="D55" s="4"/>
      <c r="E55" s="10"/>
      <c r="F55" s="10"/>
      <c r="G55" s="6"/>
      <c r="H55" s="4"/>
      <c r="I55" s="93"/>
      <c r="J55" s="93"/>
      <c r="K55" s="94">
        <f t="shared" si="1"/>
        <v>0</v>
      </c>
      <c r="L55" s="95"/>
      <c r="M55" s="94">
        <f t="shared" si="2"/>
        <v>0</v>
      </c>
      <c r="N55" s="95"/>
      <c r="O55" s="94">
        <f t="shared" si="3"/>
        <v>0</v>
      </c>
      <c r="P55" s="94">
        <f t="shared" si="4"/>
        <v>0</v>
      </c>
      <c r="Q55" s="96">
        <f>IFERROR(P55*VLOOKUP(P55,CG!$B$16:$C$19,2,1),0)</f>
        <v>0</v>
      </c>
      <c r="R55" s="5">
        <f>(P55-Q55-S55)*VLOOKUP((P55-Q55-S55),CG!$E$16:$G$20,2,1)-VLOOKUP((P55-Q55-S55),CG!$E$16:$G$20,3,1)</f>
        <v>0</v>
      </c>
      <c r="S55" s="97"/>
      <c r="T55" s="97"/>
      <c r="U55" s="5">
        <f t="shared" si="5"/>
        <v>0</v>
      </c>
      <c r="V55" s="119"/>
      <c r="W55" s="120"/>
      <c r="X55" s="112" t="str">
        <f t="shared" si="0"/>
        <v>/</v>
      </c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</row>
    <row r="56" spans="2:37" ht="14.5" customHeight="1">
      <c r="B56" s="4"/>
      <c r="C56" s="4"/>
      <c r="D56" s="4"/>
      <c r="E56" s="10"/>
      <c r="F56" s="10"/>
      <c r="G56" s="6"/>
      <c r="H56" s="4"/>
      <c r="I56" s="93"/>
      <c r="J56" s="93"/>
      <c r="K56" s="94">
        <f t="shared" si="1"/>
        <v>0</v>
      </c>
      <c r="L56" s="95"/>
      <c r="M56" s="94">
        <f t="shared" si="2"/>
        <v>0</v>
      </c>
      <c r="N56" s="95"/>
      <c r="O56" s="94">
        <f t="shared" si="3"/>
        <v>0</v>
      </c>
      <c r="P56" s="94">
        <f t="shared" si="4"/>
        <v>0</v>
      </c>
      <c r="Q56" s="96">
        <f>IFERROR(P56*VLOOKUP(P56,CG!$B$16:$C$19,2,1),0)</f>
        <v>0</v>
      </c>
      <c r="R56" s="5">
        <f>(P56-Q56-S56)*VLOOKUP((P56-Q56-S56),CG!$E$16:$G$20,2,1)-VLOOKUP((P56-Q56-S56),CG!$E$16:$G$20,3,1)</f>
        <v>0</v>
      </c>
      <c r="S56" s="97"/>
      <c r="T56" s="97"/>
      <c r="U56" s="5">
        <f t="shared" si="5"/>
        <v>0</v>
      </c>
      <c r="V56" s="119"/>
      <c r="W56" s="120"/>
      <c r="X56" s="112" t="str">
        <f t="shared" si="0"/>
        <v>/</v>
      </c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</row>
    <row r="57" spans="2:37" ht="14.5" customHeight="1">
      <c r="B57" s="4"/>
      <c r="C57" s="4"/>
      <c r="D57" s="4"/>
      <c r="E57" s="10"/>
      <c r="F57" s="10"/>
      <c r="G57" s="6"/>
      <c r="H57" s="4"/>
      <c r="I57" s="93"/>
      <c r="J57" s="93"/>
      <c r="K57" s="94">
        <f t="shared" si="1"/>
        <v>0</v>
      </c>
      <c r="L57" s="95"/>
      <c r="M57" s="94">
        <f t="shared" si="2"/>
        <v>0</v>
      </c>
      <c r="N57" s="95"/>
      <c r="O57" s="94">
        <f t="shared" si="3"/>
        <v>0</v>
      </c>
      <c r="P57" s="94">
        <f t="shared" si="4"/>
        <v>0</v>
      </c>
      <c r="Q57" s="96">
        <f>IFERROR(P57*VLOOKUP(P57,CG!$B$16:$C$19,2,1),0)</f>
        <v>0</v>
      </c>
      <c r="R57" s="5">
        <f>(P57-Q57-S57)*VLOOKUP((P57-Q57-S57),CG!$E$16:$G$20,2,1)-VLOOKUP((P57-Q57-S57),CG!$E$16:$G$20,3,1)</f>
        <v>0</v>
      </c>
      <c r="S57" s="97"/>
      <c r="T57" s="97"/>
      <c r="U57" s="5">
        <f t="shared" si="5"/>
        <v>0</v>
      </c>
      <c r="V57" s="119"/>
      <c r="W57" s="120"/>
      <c r="X57" s="112" t="str">
        <f t="shared" si="0"/>
        <v>/</v>
      </c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</row>
    <row r="58" spans="2:37" ht="14.5" customHeight="1">
      <c r="B58" s="4"/>
      <c r="C58" s="4"/>
      <c r="D58" s="4"/>
      <c r="E58" s="10"/>
      <c r="F58" s="10"/>
      <c r="G58" s="6"/>
      <c r="H58" s="4"/>
      <c r="I58" s="93"/>
      <c r="J58" s="93"/>
      <c r="K58" s="94">
        <f t="shared" si="1"/>
        <v>0</v>
      </c>
      <c r="L58" s="95"/>
      <c r="M58" s="94">
        <f t="shared" si="2"/>
        <v>0</v>
      </c>
      <c r="N58" s="95"/>
      <c r="O58" s="94">
        <f t="shared" si="3"/>
        <v>0</v>
      </c>
      <c r="P58" s="94">
        <f t="shared" si="4"/>
        <v>0</v>
      </c>
      <c r="Q58" s="96">
        <f>IFERROR(P58*VLOOKUP(P58,CG!$B$16:$C$19,2,1),0)</f>
        <v>0</v>
      </c>
      <c r="R58" s="5">
        <f>(P58-Q58-S58)*VLOOKUP((P58-Q58-S58),CG!$E$16:$G$20,2,1)-VLOOKUP((P58-Q58-S58),CG!$E$16:$G$20,3,1)</f>
        <v>0</v>
      </c>
      <c r="S58" s="97"/>
      <c r="T58" s="97"/>
      <c r="U58" s="5">
        <f t="shared" si="5"/>
        <v>0</v>
      </c>
      <c r="V58" s="119"/>
      <c r="W58" s="120"/>
      <c r="X58" s="112" t="str">
        <f t="shared" si="0"/>
        <v>/</v>
      </c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</row>
    <row r="59" spans="2:37" ht="14.5" customHeight="1">
      <c r="B59" s="4"/>
      <c r="C59" s="4"/>
      <c r="D59" s="4"/>
      <c r="E59" s="10"/>
      <c r="F59" s="10"/>
      <c r="G59" s="6"/>
      <c r="H59" s="4"/>
      <c r="I59" s="93"/>
      <c r="J59" s="93"/>
      <c r="K59" s="94">
        <f t="shared" si="1"/>
        <v>0</v>
      </c>
      <c r="L59" s="95"/>
      <c r="M59" s="94">
        <f t="shared" si="2"/>
        <v>0</v>
      </c>
      <c r="N59" s="95"/>
      <c r="O59" s="94">
        <f t="shared" si="3"/>
        <v>0</v>
      </c>
      <c r="P59" s="94">
        <f t="shared" si="4"/>
        <v>0</v>
      </c>
      <c r="Q59" s="96">
        <f>IFERROR(P59*VLOOKUP(P59,CG!$B$16:$C$19,2,1),0)</f>
        <v>0</v>
      </c>
      <c r="R59" s="5">
        <f>(P59-Q59-S59)*VLOOKUP((P59-Q59-S59),CG!$E$16:$G$20,2,1)-VLOOKUP((P59-Q59-S59),CG!$E$16:$G$20,3,1)</f>
        <v>0</v>
      </c>
      <c r="S59" s="97"/>
      <c r="T59" s="97"/>
      <c r="U59" s="5">
        <f t="shared" si="5"/>
        <v>0</v>
      </c>
      <c r="V59" s="119"/>
      <c r="W59" s="120"/>
      <c r="X59" s="112" t="str">
        <f t="shared" si="0"/>
        <v>/</v>
      </c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</row>
    <row r="60" spans="2:37" ht="14.5" customHeight="1">
      <c r="B60" s="4"/>
      <c r="C60" s="4"/>
      <c r="D60" s="4"/>
      <c r="E60" s="10"/>
      <c r="F60" s="10"/>
      <c r="G60" s="6"/>
      <c r="H60" s="4"/>
      <c r="I60" s="93"/>
      <c r="J60" s="93"/>
      <c r="K60" s="94">
        <f t="shared" si="1"/>
        <v>0</v>
      </c>
      <c r="L60" s="95"/>
      <c r="M60" s="94">
        <f t="shared" si="2"/>
        <v>0</v>
      </c>
      <c r="N60" s="95"/>
      <c r="O60" s="94">
        <f t="shared" si="3"/>
        <v>0</v>
      </c>
      <c r="P60" s="94">
        <f t="shared" si="4"/>
        <v>0</v>
      </c>
      <c r="Q60" s="96">
        <f>IFERROR(P60*VLOOKUP(P60,CG!$B$16:$C$19,2,1),0)</f>
        <v>0</v>
      </c>
      <c r="R60" s="5">
        <f>(P60-Q60-S60)*VLOOKUP((P60-Q60-S60),CG!$E$16:$G$20,2,1)-VLOOKUP((P60-Q60-S60),CG!$E$16:$G$20,3,1)</f>
        <v>0</v>
      </c>
      <c r="S60" s="97"/>
      <c r="T60" s="97"/>
      <c r="U60" s="5">
        <f t="shared" si="5"/>
        <v>0</v>
      </c>
      <c r="V60" s="119"/>
      <c r="W60" s="120"/>
      <c r="X60" s="112" t="str">
        <f t="shared" si="0"/>
        <v>/</v>
      </c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</row>
    <row r="61" spans="2:37" ht="14.5" customHeight="1">
      <c r="B61" s="4"/>
      <c r="C61" s="4"/>
      <c r="D61" s="4"/>
      <c r="E61" s="10"/>
      <c r="F61" s="10"/>
      <c r="G61" s="6"/>
      <c r="H61" s="4"/>
      <c r="I61" s="93"/>
      <c r="J61" s="93"/>
      <c r="K61" s="94">
        <f t="shared" si="1"/>
        <v>0</v>
      </c>
      <c r="L61" s="95"/>
      <c r="M61" s="94">
        <f t="shared" si="2"/>
        <v>0</v>
      </c>
      <c r="N61" s="95"/>
      <c r="O61" s="94">
        <f t="shared" si="3"/>
        <v>0</v>
      </c>
      <c r="P61" s="94">
        <f t="shared" si="4"/>
        <v>0</v>
      </c>
      <c r="Q61" s="96">
        <f>IFERROR(P61*VLOOKUP(P61,CG!$B$16:$C$19,2,1),0)</f>
        <v>0</v>
      </c>
      <c r="R61" s="5">
        <f>(P61-Q61-S61)*VLOOKUP((P61-Q61-S61),CG!$E$16:$G$20,2,1)-VLOOKUP((P61-Q61-S61),CG!$E$16:$G$20,3,1)</f>
        <v>0</v>
      </c>
      <c r="S61" s="97"/>
      <c r="T61" s="97"/>
      <c r="U61" s="5">
        <f t="shared" si="5"/>
        <v>0</v>
      </c>
      <c r="V61" s="119"/>
      <c r="W61" s="120"/>
      <c r="X61" s="112" t="str">
        <f t="shared" si="0"/>
        <v>/</v>
      </c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</row>
    <row r="62" spans="2:37" ht="14.5" customHeight="1">
      <c r="B62" s="4"/>
      <c r="C62" s="4"/>
      <c r="D62" s="4"/>
      <c r="E62" s="10"/>
      <c r="F62" s="10"/>
      <c r="G62" s="6"/>
      <c r="H62" s="4"/>
      <c r="I62" s="93"/>
      <c r="J62" s="93"/>
      <c r="K62" s="94">
        <f t="shared" si="1"/>
        <v>0</v>
      </c>
      <c r="L62" s="95"/>
      <c r="M62" s="94">
        <f t="shared" si="2"/>
        <v>0</v>
      </c>
      <c r="N62" s="95"/>
      <c r="O62" s="94">
        <f t="shared" si="3"/>
        <v>0</v>
      </c>
      <c r="P62" s="94">
        <f t="shared" si="4"/>
        <v>0</v>
      </c>
      <c r="Q62" s="96">
        <f>IFERROR(P62*VLOOKUP(P62,CG!$B$16:$C$19,2,1),0)</f>
        <v>0</v>
      </c>
      <c r="R62" s="5">
        <f>(P62-Q62-S62)*VLOOKUP((P62-Q62-S62),CG!$E$16:$G$20,2,1)-VLOOKUP((P62-Q62-S62),CG!$E$16:$G$20,3,1)</f>
        <v>0</v>
      </c>
      <c r="S62" s="97"/>
      <c r="T62" s="97"/>
      <c r="U62" s="5">
        <f t="shared" si="5"/>
        <v>0</v>
      </c>
      <c r="V62" s="119"/>
      <c r="W62" s="120"/>
      <c r="X62" s="112" t="str">
        <f t="shared" si="0"/>
        <v>/</v>
      </c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</row>
    <row r="63" spans="2:37" ht="14.5" customHeight="1">
      <c r="B63" s="4"/>
      <c r="C63" s="4"/>
      <c r="D63" s="4"/>
      <c r="E63" s="10"/>
      <c r="F63" s="10"/>
      <c r="G63" s="6"/>
      <c r="H63" s="4"/>
      <c r="I63" s="93"/>
      <c r="J63" s="93"/>
      <c r="K63" s="94">
        <f t="shared" si="1"/>
        <v>0</v>
      </c>
      <c r="L63" s="95"/>
      <c r="M63" s="94">
        <f t="shared" si="2"/>
        <v>0</v>
      </c>
      <c r="N63" s="95"/>
      <c r="O63" s="94">
        <f t="shared" si="3"/>
        <v>0</v>
      </c>
      <c r="P63" s="94">
        <f t="shared" si="4"/>
        <v>0</v>
      </c>
      <c r="Q63" s="96">
        <f>IFERROR(P63*VLOOKUP(P63,CG!$B$16:$C$19,2,1),0)</f>
        <v>0</v>
      </c>
      <c r="R63" s="5">
        <f>(P63-Q63-S63)*VLOOKUP((P63-Q63-S63),CG!$E$16:$G$20,2,1)-VLOOKUP((P63-Q63-S63),CG!$E$16:$G$20,3,1)</f>
        <v>0</v>
      </c>
      <c r="S63" s="97"/>
      <c r="T63" s="97"/>
      <c r="U63" s="5">
        <f t="shared" si="5"/>
        <v>0</v>
      </c>
      <c r="V63" s="119"/>
      <c r="W63" s="120"/>
      <c r="X63" s="112" t="str">
        <f t="shared" si="0"/>
        <v>/</v>
      </c>
      <c r="Z63" s="118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</row>
    <row r="64" spans="2:37" ht="14.5" customHeight="1">
      <c r="Z64" s="117"/>
      <c r="AA64" s="117"/>
      <c r="AB64" s="117"/>
      <c r="AC64" s="117"/>
      <c r="AD64" s="117"/>
      <c r="AE64" s="117"/>
      <c r="AF64" s="117"/>
      <c r="AG64" s="117"/>
    </row>
    <row r="65" ht="14.5" customHeight="1"/>
    <row r="66" ht="14.5" customHeight="1"/>
    <row r="67" ht="14.5" customHeight="1"/>
    <row r="68" ht="14.5" customHeight="1"/>
    <row r="69" ht="14.5" customHeight="1"/>
    <row r="70" ht="14.5" customHeight="1"/>
    <row r="71" ht="14.5" customHeight="1"/>
    <row r="72" ht="14.5" customHeight="1"/>
    <row r="73" ht="14.5" customHeight="1"/>
    <row r="74" ht="14.5" customHeight="1"/>
    <row r="75" ht="14.5" customHeight="1"/>
    <row r="76" ht="14.5" customHeight="1"/>
    <row r="77" ht="14.5" customHeight="1"/>
    <row r="78" ht="14.5" customHeight="1"/>
    <row r="79" ht="14.5" customHeight="1"/>
    <row r="80" ht="14.5" customHeight="1"/>
    <row r="81" ht="14.5" customHeight="1"/>
    <row r="82" ht="14.5" customHeight="1"/>
    <row r="83" ht="14.5" customHeight="1"/>
    <row r="84" ht="14.5" customHeight="1"/>
    <row r="85" ht="14.5" customHeight="1"/>
    <row r="86" ht="14.5" customHeight="1"/>
    <row r="87" ht="14.5" customHeight="1"/>
    <row r="88" ht="14.5" customHeight="1"/>
    <row r="89" ht="14.5" customHeight="1"/>
    <row r="90" ht="14.5" customHeight="1"/>
    <row r="91" ht="14.5" customHeight="1"/>
  </sheetData>
  <mergeCells count="2">
    <mergeCell ref="E10:F10"/>
    <mergeCell ref="C12:H12"/>
  </mergeCells>
  <phoneticPr fontId="6" type="noConversion"/>
  <conditionalFormatting sqref="Q13:X13">
    <cfRule type="cellIs" dxfId="2" priority="3" operator="equal">
      <formula>0</formula>
    </cfRule>
  </conditionalFormatting>
  <conditionalFormatting sqref="X14:X63">
    <cfRule type="cellIs" dxfId="1" priority="2" operator="equal">
      <formula>"/"</formula>
    </cfRule>
  </conditionalFormatting>
  <dataValidations count="2">
    <dataValidation type="list" allowBlank="1" showInputMessage="1" showErrorMessage="1" sqref="W14:W63" xr:uid="{5FD5F70E-192A-4051-93E3-E6863A7333F6}">
      <formula1>"2021,2022,2023,2024,2025"</formula1>
    </dataValidation>
    <dataValidation type="list" allowBlank="1" showInputMessage="1" showErrorMessage="1" sqref="V14:V63" xr:uid="{283441CD-5134-42F8-B82C-18227E6261A6}">
      <formula1>"Janeiro, Fevereiro, Março, Abril, Maio, Junho, Juho, Agosto, Setembro, Outrubro, Novembro, Dezembro"</formula1>
    </dataValidation>
  </dataValidations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2162C-4C43-4799-A36D-5DD7FAB19D8C}">
  <sheetPr>
    <tabColor theme="8" tint="-0.499984740745262"/>
  </sheetPr>
  <dimension ref="B1:U91"/>
  <sheetViews>
    <sheetView showGridLines="0" showRowColHeaders="0" tabSelected="1" zoomScale="85" zoomScaleNormal="85" workbookViewId="0"/>
  </sheetViews>
  <sheetFormatPr defaultColWidth="8.81640625" defaultRowHeight="14.5" zeroHeight="1"/>
  <cols>
    <col min="1" max="1" width="2.7265625" customWidth="1"/>
    <col min="2" max="2" width="16" customWidth="1"/>
    <col min="3" max="6" width="17.26953125" customWidth="1"/>
    <col min="7" max="7" width="17.26953125" style="11" customWidth="1"/>
    <col min="8" max="8" width="17.26953125" style="12" customWidth="1"/>
    <col min="9" max="11" width="17.26953125" style="78" customWidth="1"/>
    <col min="12" max="12" width="17.26953125" style="83" customWidth="1"/>
    <col min="13" max="13" width="17.26953125" style="78" customWidth="1"/>
    <col min="14" max="14" width="17.26953125" style="83" customWidth="1"/>
    <col min="15" max="15" width="17.26953125" style="78" customWidth="1"/>
    <col min="16" max="16" width="8.81640625" style="78" customWidth="1"/>
    <col min="17" max="21" width="8.81640625" style="81" customWidth="1"/>
    <col min="22" max="23" width="10.453125" bestFit="1" customWidth="1"/>
    <col min="27" max="27" width="10.26953125" bestFit="1" customWidth="1"/>
  </cols>
  <sheetData>
    <row r="1" spans="2:21" ht="14.5" customHeight="1"/>
    <row r="2" spans="2:21" ht="14.5" customHeight="1"/>
    <row r="3" spans="2:21" ht="14.5" customHeight="1"/>
    <row r="4" spans="2:21" ht="2.15" customHeight="1"/>
    <row r="5" spans="2:21" s="1" customFormat="1" ht="5.15" customHeight="1">
      <c r="G5" s="13"/>
      <c r="H5" s="14"/>
      <c r="I5" s="79"/>
      <c r="J5" s="79"/>
      <c r="K5" s="79"/>
      <c r="L5" s="84"/>
      <c r="M5" s="79"/>
      <c r="N5" s="84"/>
      <c r="O5" s="79"/>
      <c r="P5" s="79"/>
      <c r="Q5" s="82"/>
      <c r="R5" s="82"/>
      <c r="S5" s="82"/>
      <c r="T5" s="82"/>
      <c r="U5" s="82"/>
    </row>
    <row r="6" spans="2:21" ht="3" customHeight="1"/>
    <row r="7" spans="2:21" s="1" customFormat="1" ht="5.15" customHeight="1">
      <c r="G7" s="13"/>
      <c r="H7" s="14"/>
      <c r="I7" s="79"/>
      <c r="J7" s="79"/>
      <c r="K7" s="79"/>
      <c r="L7" s="84"/>
      <c r="M7" s="79"/>
      <c r="N7" s="84"/>
      <c r="O7" s="79"/>
      <c r="P7" s="79"/>
      <c r="Q7" s="82"/>
      <c r="R7" s="82"/>
      <c r="S7" s="82"/>
      <c r="T7" s="82"/>
      <c r="U7" s="82"/>
    </row>
    <row r="8" spans="2:21" ht="2.15" customHeight="1"/>
    <row r="9" spans="2:21" ht="30" customHeight="1">
      <c r="N9" s="83" t="s">
        <v>91</v>
      </c>
    </row>
    <row r="10" spans="2:21" ht="25" customHeight="1">
      <c r="B10" s="111" t="s">
        <v>94</v>
      </c>
      <c r="C10" s="122">
        <v>2021</v>
      </c>
      <c r="D10" s="121" t="s">
        <v>0</v>
      </c>
      <c r="E10" s="134" t="s">
        <v>1</v>
      </c>
      <c r="F10" s="138"/>
      <c r="G10" s="138"/>
      <c r="H10" s="138"/>
      <c r="I10" s="135"/>
    </row>
    <row r="11" spans="2:21" ht="5.15" customHeight="1"/>
    <row r="12" spans="2:21" ht="16.149999999999999" customHeight="1">
      <c r="B12" s="113"/>
      <c r="C12" s="114" t="s">
        <v>78</v>
      </c>
      <c r="D12" s="114" t="s">
        <v>79</v>
      </c>
      <c r="E12" s="114" t="s">
        <v>80</v>
      </c>
      <c r="F12" s="114" t="s">
        <v>81</v>
      </c>
      <c r="G12" s="114" t="s">
        <v>82</v>
      </c>
      <c r="H12" s="114" t="s">
        <v>83</v>
      </c>
      <c r="I12" s="114" t="s">
        <v>84</v>
      </c>
      <c r="J12" s="114" t="s">
        <v>85</v>
      </c>
      <c r="K12" s="114" t="s">
        <v>86</v>
      </c>
      <c r="L12" s="114" t="s">
        <v>87</v>
      </c>
      <c r="M12" s="114" t="s">
        <v>88</v>
      </c>
      <c r="N12" s="114" t="s">
        <v>89</v>
      </c>
      <c r="O12"/>
      <c r="P12"/>
      <c r="Q12"/>
      <c r="R12"/>
      <c r="S12"/>
      <c r="T12"/>
      <c r="U12"/>
    </row>
    <row r="13" spans="2:21" s="92" customFormat="1" ht="16.149999999999999" customHeight="1">
      <c r="B13" s="114" t="s">
        <v>90</v>
      </c>
      <c r="C13" s="75">
        <f>SUMIF('Colab - Previsto'!$V$14:$V$63,'Previsto Realizado'!C$12,'Colab - Previsto'!$U$14:$U$63)</f>
        <v>2357.1764204545452</v>
      </c>
      <c r="D13" s="75">
        <f>SUMIF('Colab - Previsto'!$V$14:$V$63,'Previsto Realizado'!D$12,'Colab - Previsto'!$U$14:$U$63)</f>
        <v>1152.8863636363635</v>
      </c>
      <c r="E13" s="75">
        <f>SUMIF('Colab - Previsto'!$V$14:$V$63,'Previsto Realizado'!E$12,'Colab - Previsto'!$U$14:$U$63)</f>
        <v>1922.1110795454547</v>
      </c>
      <c r="F13" s="75">
        <f>SUMIF('Colab - Previsto'!$V$14:$V$63,'Previsto Realizado'!F$12,'Colab - Previsto'!$U$14:$U$63)</f>
        <v>0</v>
      </c>
      <c r="G13" s="75">
        <f>SUMIF('Colab - Previsto'!$V$14:$V$63,'Previsto Realizado'!G$12,'Colab - Previsto'!$U$14:$U$63)</f>
        <v>0</v>
      </c>
      <c r="H13" s="75">
        <f>SUMIF('Colab - Previsto'!$V$14:$V$63,'Previsto Realizado'!H$12,'Colab - Previsto'!$U$14:$U$63)</f>
        <v>0</v>
      </c>
      <c r="I13" s="75">
        <f>SUMIF('Colab - Previsto'!$V$14:$V$63,'Previsto Realizado'!I$12,'Colab - Previsto'!$U$14:$U$63)</f>
        <v>0</v>
      </c>
      <c r="J13" s="75">
        <f>SUMIF('Colab - Previsto'!$V$14:$V$63,'Previsto Realizado'!J$12,'Colab - Previsto'!$U$14:$U$63)</f>
        <v>0</v>
      </c>
      <c r="K13" s="75">
        <f>SUMIF('Colab - Previsto'!$V$14:$V$63,'Previsto Realizado'!K$12,'Colab - Previsto'!$U$14:$U$63)</f>
        <v>0</v>
      </c>
      <c r="L13" s="75">
        <f>SUMIF('Colab - Previsto'!$V$14:$V$63,'Previsto Realizado'!L$12,'Colab - Previsto'!$U$14:$U$63)</f>
        <v>0</v>
      </c>
      <c r="M13" s="75">
        <f>SUMIF('Colab - Previsto'!$V$14:$V$63,'Previsto Realizado'!M$12,'Colab - Previsto'!$U$14:$U$63)</f>
        <v>0</v>
      </c>
      <c r="N13" s="75">
        <f>SUMIF('Colab - Previsto'!$V$14:$V$63,'Previsto Realizado'!N$12,'Colab - Previsto'!$U$14:$U$63)</f>
        <v>0</v>
      </c>
    </row>
    <row r="14" spans="2:21" ht="16.149999999999999" customHeight="1">
      <c r="B14" s="114" t="s">
        <v>75</v>
      </c>
      <c r="C14" s="75">
        <f>SUMIF('Colab - Realizado'!$V$14:$V$63,'Previsto Realizado'!C$12,'Colab - Realizado'!$U$14:$U$63)</f>
        <v>6963.0414772727272</v>
      </c>
      <c r="D14" s="75">
        <f>SUMIF('Colab - Realizado'!$V$14:$V$63,'Previsto Realizado'!D$12,'Colab - Realizado'!$U$14:$U$63)</f>
        <v>0</v>
      </c>
      <c r="E14" s="75">
        <f>SUMIF('Colab - Realizado'!$V$14:$V$63,'Previsto Realizado'!E$12,'Colab - Realizado'!$U$14:$U$63)</f>
        <v>0</v>
      </c>
      <c r="F14" s="75">
        <f>SUMIF('Colab - Realizado'!$V$14:$V$63,'Previsto Realizado'!F$12,'Colab - Realizado'!$U$14:$U$63)</f>
        <v>0</v>
      </c>
      <c r="G14" s="75">
        <f>SUMIF('Colab - Realizado'!$V$14:$V$63,'Previsto Realizado'!G$12,'Colab - Realizado'!$U$14:$U$63)</f>
        <v>0</v>
      </c>
      <c r="H14" s="75">
        <f>SUMIF('Colab - Realizado'!$V$14:$V$63,'Previsto Realizado'!H$12,'Colab - Realizado'!$U$14:$U$63)</f>
        <v>0</v>
      </c>
      <c r="I14" s="75">
        <f>SUMIF('Colab - Realizado'!$V$14:$V$63,'Previsto Realizado'!I$12,'Colab - Realizado'!$U$14:$U$63)</f>
        <v>0</v>
      </c>
      <c r="J14" s="75">
        <f>SUMIF('Colab - Realizado'!$V$14:$V$63,'Previsto Realizado'!J$12,'Colab - Realizado'!$U$14:$U$63)</f>
        <v>0</v>
      </c>
      <c r="K14" s="75">
        <f>SUMIF('Colab - Realizado'!$V$14:$V$63,'Previsto Realizado'!K$12,'Colab - Realizado'!$U$14:$U$63)</f>
        <v>0</v>
      </c>
      <c r="L14" s="75">
        <f>SUMIF('Colab - Realizado'!$V$14:$V$63,'Previsto Realizado'!L$12,'Colab - Realizado'!$U$14:$U$63)</f>
        <v>0</v>
      </c>
      <c r="M14" s="75">
        <f>SUMIF('Colab - Realizado'!$V$14:$V$63,'Previsto Realizado'!M$12,'Colab - Realizado'!$U$14:$U$63)</f>
        <v>0</v>
      </c>
      <c r="N14" s="75">
        <f>SUMIF('Colab - Realizado'!$V$14:$V$63,'Previsto Realizado'!N$12,'Colab - Realizado'!$U$14:$U$63)</f>
        <v>0</v>
      </c>
      <c r="O14"/>
      <c r="P14"/>
      <c r="Q14"/>
      <c r="R14"/>
      <c r="S14"/>
      <c r="T14"/>
      <c r="U14"/>
    </row>
    <row r="15" spans="2:21" ht="16.399999999999999" customHeight="1"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2:21" ht="16.399999999999999" customHeight="1"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customFormat="1" ht="16.399999999999999" customHeight="1"/>
    <row r="18" customFormat="1" ht="15" customHeight="1"/>
    <row r="19" customFormat="1" ht="16.399999999999999" customHeight="1"/>
    <row r="20" customFormat="1" ht="16.399999999999999" customHeight="1"/>
    <row r="21" customFormat="1" ht="15" customHeight="1"/>
    <row r="22" customFormat="1" ht="14.5" hidden="1" customHeight="1"/>
    <row r="23" customFormat="1" ht="14.5" hidden="1" customHeight="1"/>
    <row r="24" customFormat="1" ht="14.5" hidden="1" customHeight="1"/>
    <row r="25" customFormat="1" ht="14.5" hidden="1" customHeight="1"/>
    <row r="26" customFormat="1" ht="14.5" hidden="1" customHeight="1"/>
    <row r="27" customFormat="1" ht="14.5" hidden="1" customHeight="1"/>
    <row r="28" customFormat="1" ht="14.5" hidden="1" customHeight="1"/>
    <row r="29" customFormat="1" ht="14.5" hidden="1" customHeight="1"/>
    <row r="30" customFormat="1" ht="14.5" hidden="1" customHeight="1"/>
    <row r="31" customFormat="1" ht="14.5" hidden="1" customHeight="1"/>
    <row r="32" customFormat="1" ht="14.5" hidden="1" customHeight="1"/>
    <row r="33" customFormat="1" ht="14.5" hidden="1" customHeight="1"/>
    <row r="34" customFormat="1" ht="14.5" customHeight="1"/>
    <row r="35" customFormat="1" ht="14.5" customHeight="1"/>
    <row r="36" customFormat="1" ht="14.5" customHeight="1"/>
    <row r="37" customFormat="1" ht="14.5" customHeight="1"/>
    <row r="38" customFormat="1" ht="14.5" customHeight="1"/>
    <row r="39" customFormat="1" ht="14.5" customHeight="1"/>
    <row r="40" customFormat="1" ht="14.5" customHeight="1"/>
    <row r="41" customFormat="1" ht="14.5" customHeight="1"/>
    <row r="42" customFormat="1" ht="14.5" customHeight="1"/>
    <row r="43" customFormat="1" ht="14.5" customHeight="1"/>
    <row r="44" customFormat="1" ht="14.5" customHeight="1"/>
    <row r="45" customFormat="1" ht="14.5" customHeight="1"/>
    <row r="46" customFormat="1" ht="14.5" customHeight="1"/>
    <row r="47" customFormat="1" ht="14.5" customHeight="1"/>
    <row r="48" customFormat="1" ht="14.5" customHeight="1"/>
    <row r="49" customFormat="1" ht="14.5" customHeight="1"/>
    <row r="50" customFormat="1" ht="14.5" customHeight="1"/>
    <row r="51" customFormat="1" ht="14.5" customHeight="1"/>
    <row r="52" customFormat="1" ht="14.5" customHeight="1"/>
    <row r="53" customFormat="1" ht="14.5" customHeight="1"/>
    <row r="54" customFormat="1" ht="14.5" customHeight="1"/>
    <row r="55" customFormat="1" ht="14.5" customHeight="1"/>
    <row r="56" customFormat="1" ht="14.5" customHeight="1"/>
    <row r="57" customFormat="1" ht="14.5" customHeight="1"/>
    <row r="58" customFormat="1" ht="14.5" customHeight="1"/>
    <row r="59" customFormat="1" ht="14.5" customHeight="1"/>
    <row r="60" customFormat="1" ht="14.5" customHeight="1"/>
    <row r="61" customFormat="1" ht="14.5" customHeight="1"/>
    <row r="62" customFormat="1" ht="14.5" customHeight="1"/>
    <row r="63" customFormat="1" ht="14.5" customHeight="1"/>
    <row r="64" customFormat="1" ht="14.5" customHeight="1"/>
    <row r="65" spans="7:21" ht="14.5" customHeight="1"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7:21" ht="14.5" customHeight="1"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7:21" ht="14.5" customHeight="1"/>
    <row r="68" spans="7:21" ht="14.5" customHeight="1"/>
    <row r="69" spans="7:21" ht="14.5" customHeight="1"/>
    <row r="70" spans="7:21" ht="14.5" customHeight="1"/>
    <row r="71" spans="7:21" ht="14.5" customHeight="1"/>
    <row r="72" spans="7:21" ht="14.5" customHeight="1"/>
    <row r="73" spans="7:21" ht="14.5" customHeight="1"/>
    <row r="74" spans="7:21" ht="14.5" customHeight="1"/>
    <row r="75" spans="7:21" ht="14.5" customHeight="1"/>
    <row r="76" spans="7:21" ht="14.5" customHeight="1"/>
    <row r="77" spans="7:21" ht="14.5" customHeight="1"/>
    <row r="78" spans="7:21" ht="14.5" customHeight="1"/>
    <row r="79" spans="7:21" ht="14.5" customHeight="1"/>
    <row r="80" spans="7:21" ht="14.5" customHeight="1"/>
    <row r="81" ht="14.5" customHeight="1"/>
    <row r="82" ht="14.5" customHeight="1"/>
    <row r="83" ht="14.5" customHeight="1"/>
    <row r="84" ht="14.5" customHeight="1"/>
    <row r="85" ht="14.5" customHeight="1"/>
    <row r="86" ht="14.5" customHeight="1"/>
    <row r="87" ht="14.5" customHeight="1"/>
    <row r="88" ht="14.5" customHeight="1"/>
    <row r="89" ht="14.5" customHeight="1"/>
    <row r="90" ht="14.5" customHeight="1"/>
    <row r="91" ht="14.5" customHeight="1"/>
  </sheetData>
  <mergeCells count="1">
    <mergeCell ref="E10:I10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7914-678B-403D-A704-C421164122B8}">
  <sheetPr codeName="Planilha2">
    <tabColor theme="8" tint="-0.499984740745262"/>
  </sheetPr>
  <dimension ref="B1:I24"/>
  <sheetViews>
    <sheetView showGridLines="0" showRowColHeaders="0" zoomScale="85" zoomScaleNormal="85" workbookViewId="0">
      <pane ySplit="11" topLeftCell="A12" activePane="bottomLeft" state="frozen"/>
      <selection pane="bottomLeft"/>
    </sheetView>
  </sheetViews>
  <sheetFormatPr defaultColWidth="8.81640625" defaultRowHeight="14.5" customHeight="1"/>
  <cols>
    <col min="1" max="1" width="1.81640625" customWidth="1"/>
    <col min="2" max="2" width="20.81640625" customWidth="1"/>
    <col min="3" max="3" width="6.54296875" bestFit="1" customWidth="1"/>
    <col min="4" max="4" width="2.81640625" customWidth="1"/>
    <col min="5" max="5" width="11.453125" bestFit="1" customWidth="1"/>
    <col min="6" max="6" width="5.81640625" bestFit="1" customWidth="1"/>
    <col min="7" max="7" width="9.81640625" bestFit="1" customWidth="1"/>
    <col min="8" max="8" width="2.81640625" customWidth="1"/>
    <col min="9" max="9" width="14" bestFit="1" customWidth="1"/>
    <col min="10" max="10" width="1.81640625" customWidth="1"/>
    <col min="11" max="11" width="12.1796875" bestFit="1" customWidth="1"/>
    <col min="12" max="12" width="25" customWidth="1"/>
    <col min="13" max="13" width="8.54296875" bestFit="1" customWidth="1"/>
    <col min="14" max="14" width="9.54296875" bestFit="1" customWidth="1"/>
  </cols>
  <sheetData>
    <row r="1" spans="2:9" s="2" customFormat="1"/>
    <row r="2" spans="2:9" s="2" customFormat="1"/>
    <row r="3" spans="2:9" s="2" customFormat="1"/>
    <row r="4" spans="2:9" ht="2.15" customHeight="1"/>
    <row r="5" spans="2:9" s="1" customFormat="1" ht="5.15" customHeight="1"/>
    <row r="6" spans="2:9" ht="3" customHeight="1"/>
    <row r="7" spans="2:9" s="1" customFormat="1" ht="5.15" customHeight="1"/>
    <row r="8" spans="2:9" ht="2.15" customHeight="1"/>
    <row r="9" spans="2:9" ht="30" customHeight="1"/>
    <row r="10" spans="2:9" ht="35.15" customHeight="1">
      <c r="B10" s="121" t="s">
        <v>0</v>
      </c>
      <c r="C10" s="131" t="s">
        <v>1</v>
      </c>
      <c r="D10" s="132"/>
      <c r="E10" s="132"/>
      <c r="F10" s="133"/>
    </row>
    <row r="11" spans="2:9" ht="5.15" customHeight="1"/>
    <row r="12" spans="2:9" ht="40" customHeight="1">
      <c r="B12" s="142" t="s">
        <v>39</v>
      </c>
      <c r="C12" s="143"/>
      <c r="D12" s="143"/>
      <c r="E12" s="143"/>
      <c r="F12" s="143"/>
      <c r="G12" s="143"/>
      <c r="H12" s="143"/>
      <c r="I12" s="143"/>
    </row>
    <row r="13" spans="2:9" ht="16" customHeight="1"/>
    <row r="14" spans="2:9" ht="16" customHeight="1">
      <c r="B14" s="139" t="s">
        <v>43</v>
      </c>
      <c r="C14" s="139"/>
      <c r="E14" s="139" t="s">
        <v>44</v>
      </c>
      <c r="F14" s="139"/>
      <c r="G14" s="139"/>
    </row>
    <row r="15" spans="2:9" ht="16" customHeight="1">
      <c r="B15" s="76" t="s">
        <v>5</v>
      </c>
      <c r="C15" s="76" t="s">
        <v>40</v>
      </c>
      <c r="E15" s="76" t="s">
        <v>5</v>
      </c>
      <c r="F15" s="76" t="s">
        <v>41</v>
      </c>
      <c r="G15" s="76" t="s">
        <v>42</v>
      </c>
    </row>
    <row r="16" spans="2:9" ht="16.399999999999999" customHeight="1">
      <c r="B16" s="73">
        <v>1045</v>
      </c>
      <c r="C16" s="74">
        <v>7.4999999999999997E-2</v>
      </c>
      <c r="E16" s="73">
        <v>0</v>
      </c>
      <c r="F16" s="74">
        <v>0</v>
      </c>
      <c r="G16" s="75">
        <v>0</v>
      </c>
    </row>
    <row r="17" spans="2:9" ht="16.399999999999999" customHeight="1">
      <c r="B17" s="73">
        <v>2089.6</v>
      </c>
      <c r="C17" s="74">
        <v>0.09</v>
      </c>
      <c r="E17" s="73">
        <v>1903.98</v>
      </c>
      <c r="F17" s="74">
        <v>7.4999999999999997E-2</v>
      </c>
      <c r="G17" s="75">
        <v>142.80000000000001</v>
      </c>
    </row>
    <row r="18" spans="2:9" ht="16.399999999999999" customHeight="1">
      <c r="B18" s="73">
        <v>3134.4</v>
      </c>
      <c r="C18" s="74">
        <v>0.12</v>
      </c>
      <c r="E18" s="73">
        <v>2826.65</v>
      </c>
      <c r="F18" s="74">
        <v>0.15</v>
      </c>
      <c r="G18" s="75">
        <v>354.8</v>
      </c>
    </row>
    <row r="19" spans="2:9" ht="16.399999999999999" customHeight="1">
      <c r="B19" s="73">
        <v>6101.06</v>
      </c>
      <c r="C19" s="74">
        <v>0.14000000000000001</v>
      </c>
      <c r="E19" s="73">
        <v>3751.05</v>
      </c>
      <c r="F19" s="74">
        <v>0.22500000000000001</v>
      </c>
      <c r="G19" s="75">
        <v>636.13</v>
      </c>
    </row>
    <row r="20" spans="2:9" ht="15" customHeight="1">
      <c r="E20" s="73">
        <v>4664.68</v>
      </c>
      <c r="F20" s="74">
        <v>0.27500000000000002</v>
      </c>
      <c r="G20" s="75">
        <v>869.36</v>
      </c>
    </row>
    <row r="21" spans="2:9" ht="16.399999999999999" customHeight="1"/>
    <row r="22" spans="2:9" ht="16.399999999999999" customHeight="1"/>
    <row r="23" spans="2:9" ht="15" customHeight="1">
      <c r="B23" s="77" t="s">
        <v>0</v>
      </c>
      <c r="C23" s="140" t="str">
        <f>C10</f>
        <v>Empresa ABCDE</v>
      </c>
      <c r="D23" s="140"/>
      <c r="E23" s="140"/>
      <c r="F23" s="140"/>
      <c r="G23" s="140"/>
      <c r="H23" s="140"/>
      <c r="I23" s="140"/>
    </row>
    <row r="24" spans="2:9" ht="14.5" customHeight="1">
      <c r="B24" s="77" t="s">
        <v>45</v>
      </c>
      <c r="C24" s="141"/>
      <c r="D24" s="141"/>
      <c r="E24" s="141"/>
      <c r="F24" s="141"/>
      <c r="G24" s="141"/>
      <c r="H24" s="141"/>
      <c r="I24" s="141"/>
    </row>
  </sheetData>
  <mergeCells count="6">
    <mergeCell ref="C10:F10"/>
    <mergeCell ref="B14:C14"/>
    <mergeCell ref="E14:G14"/>
    <mergeCell ref="C23:I23"/>
    <mergeCell ref="C24:I24"/>
    <mergeCell ref="B12:I12"/>
  </mergeCells>
  <phoneticPr fontId="6" type="noConversion"/>
  <printOptions horizontalCentered="1"/>
  <pageMargins left="0.19685039370078741" right="0.19685039370078741" top="0.39370078740157483" bottom="0.78740157480314965" header="0.31496062992125984" footer="0.31496062992125984"/>
  <pageSetup paperSize="9" scale="67" fitToHeight="3" orientation="portrait" r:id="rId1"/>
  <headerFooter>
    <oddFooter>Página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ABFD2-9194-4EBB-B69D-D78662EA7647}">
  <sheetPr codeName="Plan3">
    <tabColor theme="8" tint="-0.499984740745262"/>
  </sheetPr>
  <dimension ref="A1:W95"/>
  <sheetViews>
    <sheetView showGridLines="0" showRowColHeaders="0" zoomScaleNormal="100" workbookViewId="0"/>
  </sheetViews>
  <sheetFormatPr defaultColWidth="0" defaultRowHeight="12.5"/>
  <cols>
    <col min="1" max="1" width="40.81640625" style="16" customWidth="1"/>
    <col min="2" max="2" width="1.81640625" style="20" customWidth="1"/>
    <col min="3" max="3" width="5.54296875" style="20" customWidth="1"/>
    <col min="4" max="4" width="11.81640625" style="20" customWidth="1"/>
    <col min="5" max="5" width="13" style="20" customWidth="1"/>
    <col min="6" max="6" width="13.54296875" style="20" customWidth="1"/>
    <col min="7" max="7" width="9.54296875" style="20" customWidth="1"/>
    <col min="8" max="10" width="5.1796875" style="20" customWidth="1"/>
    <col min="11" max="13" width="4.81640625" style="20" customWidth="1"/>
    <col min="14" max="14" width="1.453125" style="20" customWidth="1"/>
    <col min="15" max="15" width="3.453125" style="20" customWidth="1"/>
    <col min="16" max="16" width="7.81640625" style="20" customWidth="1"/>
    <col min="17" max="17" width="2.1796875" style="20" customWidth="1"/>
    <col min="18" max="18" width="1.81640625" style="20" customWidth="1"/>
    <col min="19" max="19" width="5.81640625" style="16" customWidth="1"/>
    <col min="20" max="23" width="9.1796875" style="16" hidden="1" customWidth="1"/>
    <col min="24" max="16384" width="9.1796875" style="20" hidden="1"/>
  </cols>
  <sheetData>
    <row r="1" spans="1:23" s="16" customFormat="1"/>
    <row r="2" spans="1:23" ht="9" customHeight="1">
      <c r="B2" s="17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9"/>
    </row>
    <row r="3" spans="1:23" ht="18" customHeight="1">
      <c r="B3" s="21"/>
      <c r="C3" s="229" t="str">
        <f>CG!C23</f>
        <v>Empresa ABCDE</v>
      </c>
      <c r="D3" s="230"/>
      <c r="E3" s="230"/>
      <c r="F3" s="230"/>
      <c r="G3" s="204" t="s">
        <v>17</v>
      </c>
      <c r="H3" s="204"/>
      <c r="I3" s="204"/>
      <c r="J3" s="204"/>
      <c r="K3" s="204"/>
      <c r="L3" s="204"/>
      <c r="M3" s="205"/>
      <c r="N3" s="22"/>
      <c r="O3" s="208" t="s">
        <v>18</v>
      </c>
      <c r="P3" s="23"/>
      <c r="Q3" s="24"/>
      <c r="R3" s="25"/>
    </row>
    <row r="4" spans="1:23" ht="5.25" customHeight="1">
      <c r="B4" s="21"/>
      <c r="C4" s="231"/>
      <c r="D4" s="232"/>
      <c r="E4" s="232"/>
      <c r="F4" s="232"/>
      <c r="G4" s="206"/>
      <c r="H4" s="206"/>
      <c r="I4" s="206"/>
      <c r="J4" s="206"/>
      <c r="K4" s="206"/>
      <c r="L4" s="206"/>
      <c r="M4" s="207"/>
      <c r="N4" s="22"/>
      <c r="O4" s="209"/>
      <c r="P4" s="211" t="s">
        <v>19</v>
      </c>
      <c r="Q4" s="26"/>
      <c r="R4" s="25"/>
    </row>
    <row r="5" spans="1:23" ht="10.5" customHeight="1">
      <c r="B5" s="21"/>
      <c r="C5" s="233" t="str">
        <f>CONCATENATE("CNPJ: ",CG!C24)</f>
        <v xml:space="preserve">CNPJ: </v>
      </c>
      <c r="D5" s="234"/>
      <c r="E5" s="234"/>
      <c r="F5" s="234"/>
      <c r="G5" s="128"/>
      <c r="H5" s="224" t="s">
        <v>78</v>
      </c>
      <c r="I5" s="224"/>
      <c r="J5" s="224"/>
      <c r="K5" s="124" t="s">
        <v>95</v>
      </c>
      <c r="L5" s="224">
        <v>2021</v>
      </c>
      <c r="M5" s="225"/>
      <c r="N5" s="22"/>
      <c r="O5" s="209"/>
      <c r="P5" s="211"/>
      <c r="Q5" s="184" t="s">
        <v>20</v>
      </c>
      <c r="R5" s="25"/>
    </row>
    <row r="6" spans="1:23" ht="2.15" customHeight="1">
      <c r="B6" s="21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22"/>
      <c r="O6" s="209"/>
      <c r="P6" s="211"/>
      <c r="Q6" s="184"/>
      <c r="R6" s="25"/>
    </row>
    <row r="7" spans="1:23" s="37" customFormat="1" ht="11.25" customHeight="1">
      <c r="A7" s="27"/>
      <c r="B7" s="28"/>
      <c r="C7" s="29" t="s">
        <v>21</v>
      </c>
      <c r="D7" s="145" t="s">
        <v>22</v>
      </c>
      <c r="E7" s="145"/>
      <c r="F7" s="145"/>
      <c r="G7" s="30" t="s">
        <v>23</v>
      </c>
      <c r="H7" s="31" t="s">
        <v>60</v>
      </c>
      <c r="I7" s="31"/>
      <c r="J7" s="31"/>
      <c r="K7" s="32"/>
      <c r="L7" s="33"/>
      <c r="M7" s="34"/>
      <c r="N7" s="35"/>
      <c r="O7" s="209"/>
      <c r="P7" s="211"/>
      <c r="Q7" s="184"/>
      <c r="R7" s="36"/>
      <c r="S7" s="27"/>
      <c r="T7" s="27"/>
      <c r="U7" s="27"/>
      <c r="V7" s="27"/>
      <c r="W7" s="27"/>
    </row>
    <row r="8" spans="1:23" ht="11.25" customHeight="1">
      <c r="A8" s="125" t="str">
        <f>CONCATENATE(H5,"/",L5)</f>
        <v>Janeiro/2021</v>
      </c>
      <c r="B8" s="21"/>
      <c r="C8" s="126">
        <v>9003</v>
      </c>
      <c r="D8" s="220" t="str">
        <f>IFERROR(VLOOKUP(C8,'Colab - Realizado'!B:C,2,0),"")</f>
        <v>Paulo Vitor</v>
      </c>
      <c r="E8" s="220"/>
      <c r="F8" s="220"/>
      <c r="G8" s="101">
        <f>IFERROR(VLOOKUP(C8,'Colab - Previsto'!B:D,3,0),"")</f>
        <v>6789</v>
      </c>
      <c r="H8" s="99" t="str">
        <f>IFERROR(VLOOKUP(C8,'Colab - Previsto'!B:F,5,0),"")</f>
        <v>Almoxarife</v>
      </c>
      <c r="I8" s="99"/>
      <c r="J8" s="99"/>
      <c r="K8" s="99"/>
      <c r="L8" s="99"/>
      <c r="M8" s="100"/>
      <c r="N8" s="22"/>
      <c r="O8" s="209"/>
      <c r="P8" s="211"/>
      <c r="Q8" s="184"/>
      <c r="R8" s="25"/>
    </row>
    <row r="9" spans="1:23" ht="9" customHeight="1">
      <c r="B9" s="21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22"/>
      <c r="O9" s="209"/>
      <c r="P9" s="211"/>
      <c r="Q9" s="184"/>
      <c r="R9" s="25"/>
    </row>
    <row r="10" spans="1:23" ht="11.25" customHeight="1">
      <c r="B10" s="21"/>
      <c r="C10" s="39" t="s">
        <v>24</v>
      </c>
      <c r="D10" s="198" t="s">
        <v>25</v>
      </c>
      <c r="E10" s="198"/>
      <c r="F10" s="198"/>
      <c r="G10" s="39" t="s">
        <v>26</v>
      </c>
      <c r="H10" s="198" t="s">
        <v>27</v>
      </c>
      <c r="I10" s="198"/>
      <c r="J10" s="198"/>
      <c r="K10" s="198" t="s">
        <v>28</v>
      </c>
      <c r="L10" s="198"/>
      <c r="M10" s="198"/>
      <c r="N10" s="22"/>
      <c r="O10" s="209"/>
      <c r="P10" s="211"/>
      <c r="Q10" s="184"/>
      <c r="R10" s="25"/>
    </row>
    <row r="11" spans="1:23" ht="2.15" customHeight="1">
      <c r="B11" s="21"/>
      <c r="C11" s="40"/>
      <c r="D11" s="214"/>
      <c r="E11" s="214"/>
      <c r="F11" s="214"/>
      <c r="G11" s="40"/>
      <c r="H11" s="214"/>
      <c r="I11" s="214"/>
      <c r="J11" s="214"/>
      <c r="K11" s="214"/>
      <c r="L11" s="214"/>
      <c r="M11" s="214"/>
      <c r="N11" s="22"/>
      <c r="O11" s="209"/>
      <c r="P11" s="211"/>
      <c r="Q11" s="184"/>
      <c r="R11" s="25"/>
    </row>
    <row r="12" spans="1:23" ht="11.25" customHeight="1">
      <c r="B12" s="41">
        <v>1</v>
      </c>
      <c r="C12" s="42">
        <v>101</v>
      </c>
      <c r="D12" s="235" t="s">
        <v>61</v>
      </c>
      <c r="E12" s="236"/>
      <c r="F12" s="237"/>
      <c r="G12" s="43" t="s">
        <v>63</v>
      </c>
      <c r="H12" s="216">
        <f>IFERROR(SUMIFS('Colab - Realizado'!G14:G63,'Colab - Realizado'!B14:B63,Holerite!C8,'Colab - Realizado'!X14:X63,Holerite!A8),"")</f>
        <v>1500</v>
      </c>
      <c r="I12" s="216"/>
      <c r="J12" s="216"/>
      <c r="K12" s="216"/>
      <c r="L12" s="216"/>
      <c r="M12" s="216"/>
      <c r="N12" s="22"/>
      <c r="O12" s="209"/>
      <c r="P12" s="211"/>
      <c r="Q12" s="184"/>
      <c r="R12" s="25"/>
    </row>
    <row r="13" spans="1:23" ht="11.25" customHeight="1">
      <c r="B13" s="41">
        <v>2</v>
      </c>
      <c r="C13" s="44">
        <v>973</v>
      </c>
      <c r="D13" s="185" t="s">
        <v>46</v>
      </c>
      <c r="E13" s="185"/>
      <c r="F13" s="185"/>
      <c r="G13" s="45" t="str">
        <f>IFERROR(VLOOKUP(E38,CG!$B$16:$C$19,2,1),"")</f>
        <v/>
      </c>
      <c r="H13" s="186"/>
      <c r="I13" s="186"/>
      <c r="J13" s="186"/>
      <c r="K13" s="186">
        <f>IFERROR(SUMIFS('Colab - Realizado'!Q14:Q63,'Colab - Realizado'!B14:B63,Holerite!C8,'Colab - Realizado'!X14:X63,Holerite!A8),"")</f>
        <v>155.96590909090909</v>
      </c>
      <c r="L13" s="186"/>
      <c r="M13" s="186"/>
      <c r="N13" s="22"/>
      <c r="O13" s="209"/>
      <c r="P13" s="211"/>
      <c r="Q13" s="184"/>
      <c r="R13" s="25"/>
    </row>
    <row r="14" spans="1:23" ht="11.25" customHeight="1">
      <c r="B14" s="41">
        <v>3</v>
      </c>
      <c r="C14" s="44">
        <v>987</v>
      </c>
      <c r="D14" s="185" t="s">
        <v>62</v>
      </c>
      <c r="E14" s="185"/>
      <c r="F14" s="185"/>
      <c r="G14" s="45">
        <f>IFERROR(VLOOKUP(I38,CG!E16:F20,2,1),"")</f>
        <v>0</v>
      </c>
      <c r="H14" s="186"/>
      <c r="I14" s="186"/>
      <c r="J14" s="186"/>
      <c r="K14" s="186">
        <f>IFERROR(SUMIFS('Colab - Realizado'!R14:R63,'Colab - Realizado'!B14:B63,Holerite!C8,'Colab - Realizado'!X14:X63,Holerite!A8),"")</f>
        <v>1.4684659090908951</v>
      </c>
      <c r="L14" s="186"/>
      <c r="M14" s="186"/>
      <c r="N14" s="22"/>
      <c r="O14" s="209"/>
      <c r="P14" s="211"/>
      <c r="Q14" s="184"/>
      <c r="R14" s="25"/>
    </row>
    <row r="15" spans="1:23" ht="11.25" customHeight="1">
      <c r="B15" s="41">
        <v>4</v>
      </c>
      <c r="C15" s="44">
        <v>123</v>
      </c>
      <c r="D15" s="185" t="s">
        <v>64</v>
      </c>
      <c r="E15" s="185"/>
      <c r="F15" s="185"/>
      <c r="G15" s="106">
        <f>IFERROR(SUMIFS('Colab - Realizado'!I14:I63,'Colab - Realizado'!B14:B63,Holerite!C8,'Colab - Realizado'!X14:X63,Holerite!H5),"")</f>
        <v>0</v>
      </c>
      <c r="H15" s="186">
        <f>(C38/220)*G15*1.5</f>
        <v>0</v>
      </c>
      <c r="I15" s="186"/>
      <c r="J15" s="186"/>
      <c r="K15" s="186"/>
      <c r="L15" s="186"/>
      <c r="M15" s="186"/>
      <c r="N15" s="22"/>
      <c r="O15" s="209"/>
      <c r="P15" s="211"/>
      <c r="Q15" s="184"/>
      <c r="R15" s="25"/>
    </row>
    <row r="16" spans="1:23" ht="11.25" customHeight="1">
      <c r="B16" s="41">
        <v>5</v>
      </c>
      <c r="C16" s="44">
        <v>124</v>
      </c>
      <c r="D16" s="185" t="s">
        <v>65</v>
      </c>
      <c r="E16" s="185"/>
      <c r="F16" s="185"/>
      <c r="G16" s="106">
        <f>IFERROR(SUMIFS('Colab - Realizado'!J14:J63,'Colab - Realizado'!B14:B63,Holerite!C8,'Colab - Realizado'!X14:X63,Holerite!H5),"")</f>
        <v>0</v>
      </c>
      <c r="H16" s="186">
        <f>(C38/220)*G16*2</f>
        <v>0</v>
      </c>
      <c r="I16" s="186"/>
      <c r="J16" s="186"/>
      <c r="K16" s="186"/>
      <c r="L16" s="186"/>
      <c r="M16" s="186"/>
      <c r="N16" s="22"/>
      <c r="O16" s="209"/>
      <c r="P16" s="211"/>
      <c r="Q16" s="184"/>
      <c r="R16" s="25"/>
    </row>
    <row r="17" spans="2:18" ht="11.25" customHeight="1">
      <c r="B17" s="41">
        <v>6</v>
      </c>
      <c r="C17" s="44"/>
      <c r="D17" s="185"/>
      <c r="E17" s="185"/>
      <c r="F17" s="185"/>
      <c r="G17" s="45"/>
      <c r="H17" s="186"/>
      <c r="I17" s="186"/>
      <c r="J17" s="186"/>
      <c r="K17" s="186"/>
      <c r="L17" s="186"/>
      <c r="M17" s="186"/>
      <c r="N17" s="22"/>
      <c r="O17" s="209"/>
      <c r="P17" s="211"/>
      <c r="Q17" s="184"/>
      <c r="R17" s="25"/>
    </row>
    <row r="18" spans="2:18" ht="11.25" customHeight="1">
      <c r="B18" s="41">
        <v>7</v>
      </c>
      <c r="C18" s="44"/>
      <c r="D18" s="185"/>
      <c r="E18" s="185"/>
      <c r="F18" s="185"/>
      <c r="G18" s="45"/>
      <c r="H18" s="186"/>
      <c r="I18" s="186"/>
      <c r="J18" s="186"/>
      <c r="K18" s="186"/>
      <c r="L18" s="186"/>
      <c r="M18" s="186"/>
      <c r="N18" s="22"/>
      <c r="O18" s="209"/>
      <c r="P18" s="211"/>
      <c r="Q18" s="184"/>
      <c r="R18" s="25"/>
    </row>
    <row r="19" spans="2:18" ht="11.25" customHeight="1">
      <c r="B19" s="41">
        <v>8</v>
      </c>
      <c r="C19" s="44"/>
      <c r="D19" s="185"/>
      <c r="E19" s="185"/>
      <c r="F19" s="185"/>
      <c r="G19" s="45"/>
      <c r="H19" s="186"/>
      <c r="I19" s="186"/>
      <c r="J19" s="186"/>
      <c r="K19" s="186"/>
      <c r="L19" s="186"/>
      <c r="M19" s="186"/>
      <c r="N19" s="22"/>
      <c r="O19" s="209"/>
      <c r="P19" s="211"/>
      <c r="Q19" s="184"/>
      <c r="R19" s="25"/>
    </row>
    <row r="20" spans="2:18" ht="11.25" customHeight="1">
      <c r="B20" s="41">
        <v>9</v>
      </c>
      <c r="C20" s="44"/>
      <c r="D20" s="185"/>
      <c r="E20" s="185"/>
      <c r="F20" s="185"/>
      <c r="G20" s="45"/>
      <c r="H20" s="186"/>
      <c r="I20" s="186"/>
      <c r="J20" s="186"/>
      <c r="K20" s="186"/>
      <c r="L20" s="186"/>
      <c r="M20" s="186"/>
      <c r="N20" s="22"/>
      <c r="O20" s="209"/>
      <c r="P20" s="211"/>
      <c r="Q20" s="184"/>
      <c r="R20" s="25"/>
    </row>
    <row r="21" spans="2:18" ht="11.25" customHeight="1">
      <c r="B21" s="41">
        <v>10</v>
      </c>
      <c r="C21" s="44"/>
      <c r="D21" s="185"/>
      <c r="E21" s="185"/>
      <c r="F21" s="185"/>
      <c r="G21" s="45"/>
      <c r="H21" s="186"/>
      <c r="I21" s="186"/>
      <c r="J21" s="186"/>
      <c r="K21" s="186"/>
      <c r="L21" s="186"/>
      <c r="M21" s="186"/>
      <c r="N21" s="22"/>
      <c r="O21" s="209"/>
      <c r="P21" s="211"/>
      <c r="Q21" s="184"/>
      <c r="R21" s="25"/>
    </row>
    <row r="22" spans="2:18" ht="11.25" customHeight="1">
      <c r="B22" s="41">
        <v>11</v>
      </c>
      <c r="C22" s="44"/>
      <c r="D22" s="185"/>
      <c r="E22" s="185"/>
      <c r="F22" s="185"/>
      <c r="G22" s="45"/>
      <c r="H22" s="186"/>
      <c r="I22" s="186"/>
      <c r="J22" s="186"/>
      <c r="K22" s="186"/>
      <c r="L22" s="186"/>
      <c r="M22" s="186"/>
      <c r="N22" s="22"/>
      <c r="O22" s="209"/>
      <c r="P22" s="211"/>
      <c r="Q22" s="184"/>
      <c r="R22" s="25"/>
    </row>
    <row r="23" spans="2:18" ht="11.25" customHeight="1">
      <c r="B23" s="41">
        <v>12</v>
      </c>
      <c r="C23" s="44"/>
      <c r="D23" s="185"/>
      <c r="E23" s="185"/>
      <c r="F23" s="185"/>
      <c r="G23" s="45"/>
      <c r="H23" s="186"/>
      <c r="I23" s="186"/>
      <c r="J23" s="186"/>
      <c r="K23" s="186"/>
      <c r="L23" s="186"/>
      <c r="M23" s="186"/>
      <c r="N23" s="22"/>
      <c r="O23" s="209"/>
      <c r="P23" s="46"/>
      <c r="Q23" s="47"/>
      <c r="R23" s="25"/>
    </row>
    <row r="24" spans="2:18" ht="11.25" customHeight="1">
      <c r="B24" s="41">
        <v>13</v>
      </c>
      <c r="C24" s="44"/>
      <c r="D24" s="185"/>
      <c r="E24" s="185"/>
      <c r="F24" s="185"/>
      <c r="G24" s="45"/>
      <c r="H24" s="186"/>
      <c r="I24" s="186"/>
      <c r="J24" s="186"/>
      <c r="K24" s="186"/>
      <c r="L24" s="186"/>
      <c r="M24" s="186"/>
      <c r="N24" s="22"/>
      <c r="O24" s="209"/>
      <c r="P24" s="46"/>
      <c r="Q24" s="47"/>
      <c r="R24" s="25"/>
    </row>
    <row r="25" spans="2:18" ht="11.25" customHeight="1">
      <c r="B25" s="41">
        <v>14</v>
      </c>
      <c r="C25" s="44"/>
      <c r="D25" s="185"/>
      <c r="E25" s="185"/>
      <c r="F25" s="185"/>
      <c r="G25" s="45"/>
      <c r="H25" s="186"/>
      <c r="I25" s="186"/>
      <c r="J25" s="186"/>
      <c r="K25" s="186"/>
      <c r="L25" s="186"/>
      <c r="M25" s="186"/>
      <c r="N25" s="22"/>
      <c r="O25" s="209"/>
      <c r="P25" s="183" t="s">
        <v>29</v>
      </c>
      <c r="Q25" s="184" t="s">
        <v>30</v>
      </c>
      <c r="R25" s="25"/>
    </row>
    <row r="26" spans="2:18" ht="11.25" customHeight="1">
      <c r="B26" s="41">
        <v>15</v>
      </c>
      <c r="C26" s="44"/>
      <c r="D26" s="185"/>
      <c r="E26" s="185"/>
      <c r="F26" s="185"/>
      <c r="G26" s="45"/>
      <c r="H26" s="186"/>
      <c r="I26" s="186"/>
      <c r="J26" s="186"/>
      <c r="K26" s="186"/>
      <c r="L26" s="186"/>
      <c r="M26" s="186"/>
      <c r="N26" s="22"/>
      <c r="O26" s="209"/>
      <c r="P26" s="183"/>
      <c r="Q26" s="184"/>
      <c r="R26" s="25"/>
    </row>
    <row r="27" spans="2:18" ht="11.25" customHeight="1">
      <c r="B27" s="41">
        <v>16</v>
      </c>
      <c r="C27" s="44"/>
      <c r="D27" s="185"/>
      <c r="E27" s="185"/>
      <c r="F27" s="185"/>
      <c r="G27" s="45"/>
      <c r="H27" s="186"/>
      <c r="I27" s="186"/>
      <c r="J27" s="186"/>
      <c r="K27" s="186"/>
      <c r="L27" s="186"/>
      <c r="M27" s="186"/>
      <c r="N27" s="22"/>
      <c r="O27" s="209"/>
      <c r="P27" s="183"/>
      <c r="Q27" s="184"/>
      <c r="R27" s="25"/>
    </row>
    <row r="28" spans="2:18" ht="11.25" customHeight="1">
      <c r="B28" s="41">
        <v>17</v>
      </c>
      <c r="C28" s="44"/>
      <c r="D28" s="185"/>
      <c r="E28" s="185"/>
      <c r="F28" s="185"/>
      <c r="G28" s="45"/>
      <c r="H28" s="186"/>
      <c r="I28" s="186"/>
      <c r="J28" s="186"/>
      <c r="K28" s="186"/>
      <c r="L28" s="186"/>
      <c r="M28" s="186"/>
      <c r="N28" s="22"/>
      <c r="O28" s="209"/>
      <c r="P28" s="183"/>
      <c r="Q28" s="184"/>
      <c r="R28" s="25"/>
    </row>
    <row r="29" spans="2:18" ht="11.25" customHeight="1">
      <c r="B29" s="41">
        <v>18</v>
      </c>
      <c r="C29" s="48"/>
      <c r="D29" s="223"/>
      <c r="E29" s="223"/>
      <c r="F29" s="223"/>
      <c r="G29" s="49"/>
      <c r="H29" s="191"/>
      <c r="I29" s="191"/>
      <c r="J29" s="191"/>
      <c r="K29" s="191"/>
      <c r="L29" s="191"/>
      <c r="M29" s="191"/>
      <c r="N29" s="22"/>
      <c r="O29" s="209"/>
      <c r="P29" s="183"/>
      <c r="Q29" s="184"/>
      <c r="R29" s="25"/>
    </row>
    <row r="30" spans="2:18" ht="2.15" customHeight="1">
      <c r="B30" s="21"/>
      <c r="C30" s="50"/>
      <c r="D30" s="195"/>
      <c r="E30" s="195"/>
      <c r="F30" s="195"/>
      <c r="G30" s="50"/>
      <c r="H30" s="153"/>
      <c r="I30" s="153"/>
      <c r="J30" s="153"/>
      <c r="K30" s="153"/>
      <c r="L30" s="153"/>
      <c r="M30" s="153"/>
      <c r="N30" s="22"/>
      <c r="O30" s="209"/>
      <c r="P30" s="183"/>
      <c r="Q30" s="184"/>
      <c r="R30" s="25"/>
    </row>
    <row r="31" spans="2:18" ht="9.75" customHeight="1">
      <c r="B31" s="21"/>
      <c r="C31" s="154"/>
      <c r="D31" s="155"/>
      <c r="E31" s="155"/>
      <c r="F31" s="155"/>
      <c r="G31" s="156"/>
      <c r="H31" s="164" t="s">
        <v>31</v>
      </c>
      <c r="I31" s="164"/>
      <c r="J31" s="165"/>
      <c r="K31" s="163" t="s">
        <v>32</v>
      </c>
      <c r="L31" s="164"/>
      <c r="M31" s="165"/>
      <c r="N31" s="22"/>
      <c r="O31" s="209"/>
      <c r="P31" s="183"/>
      <c r="Q31" s="184"/>
      <c r="R31" s="25"/>
    </row>
    <row r="32" spans="2:18" ht="11.25" customHeight="1">
      <c r="B32" s="21"/>
      <c r="C32" s="157"/>
      <c r="D32" s="158"/>
      <c r="E32" s="158"/>
      <c r="F32" s="158"/>
      <c r="G32" s="159"/>
      <c r="H32" s="167">
        <f>SUM(H12:J29)</f>
        <v>1500</v>
      </c>
      <c r="I32" s="167"/>
      <c r="J32" s="168"/>
      <c r="K32" s="169">
        <f>SUM(K13:M29)</f>
        <v>157.43437499999999</v>
      </c>
      <c r="L32" s="170"/>
      <c r="M32" s="171"/>
      <c r="N32" s="22"/>
      <c r="O32" s="209"/>
      <c r="P32" s="183"/>
      <c r="Q32" s="184"/>
      <c r="R32" s="25"/>
    </row>
    <row r="33" spans="1:23" ht="2.15" customHeight="1">
      <c r="B33" s="21"/>
      <c r="C33" s="157"/>
      <c r="D33" s="158"/>
      <c r="E33" s="158"/>
      <c r="F33" s="158"/>
      <c r="G33" s="159"/>
      <c r="H33" s="172"/>
      <c r="I33" s="172"/>
      <c r="J33" s="172"/>
      <c r="K33" s="172"/>
      <c r="L33" s="172"/>
      <c r="M33" s="172"/>
      <c r="N33" s="22"/>
      <c r="O33" s="209"/>
      <c r="P33" s="183"/>
      <c r="Q33" s="184"/>
      <c r="R33" s="25"/>
    </row>
    <row r="34" spans="1:23" ht="9.25" customHeight="1">
      <c r="B34" s="21"/>
      <c r="C34" s="157"/>
      <c r="D34" s="158"/>
      <c r="E34" s="158"/>
      <c r="F34" s="158"/>
      <c r="G34" s="159"/>
      <c r="H34" s="173" t="s">
        <v>33</v>
      </c>
      <c r="I34" s="174"/>
      <c r="J34" s="221"/>
      <c r="K34" s="177">
        <f>H32-K32</f>
        <v>1342.565625</v>
      </c>
      <c r="L34" s="178"/>
      <c r="M34" s="179"/>
      <c r="N34" s="22"/>
      <c r="O34" s="209"/>
      <c r="P34" s="183"/>
      <c r="Q34" s="184"/>
      <c r="R34" s="25"/>
    </row>
    <row r="35" spans="1:23" ht="12" customHeight="1">
      <c r="B35" s="21"/>
      <c r="C35" s="160"/>
      <c r="D35" s="161"/>
      <c r="E35" s="161"/>
      <c r="F35" s="161"/>
      <c r="G35" s="162"/>
      <c r="H35" s="175"/>
      <c r="I35" s="176"/>
      <c r="J35" s="222"/>
      <c r="K35" s="180"/>
      <c r="L35" s="181"/>
      <c r="M35" s="182"/>
      <c r="N35" s="22"/>
      <c r="O35" s="209"/>
      <c r="P35" s="183"/>
      <c r="Q35" s="184"/>
      <c r="R35" s="25"/>
    </row>
    <row r="36" spans="1:23" ht="2.15" customHeight="1">
      <c r="B36" s="21"/>
      <c r="C36" s="51"/>
      <c r="D36" s="51"/>
      <c r="E36" s="51"/>
      <c r="F36" s="51"/>
      <c r="G36" s="51"/>
      <c r="H36" s="52"/>
      <c r="I36" s="52"/>
      <c r="J36" s="52"/>
      <c r="K36" s="53"/>
      <c r="L36" s="53"/>
      <c r="M36" s="53"/>
      <c r="N36" s="22"/>
      <c r="O36" s="209"/>
      <c r="P36" s="183"/>
      <c r="Q36" s="184"/>
      <c r="R36" s="25"/>
    </row>
    <row r="37" spans="1:23" s="59" customFormat="1" ht="13.5" customHeight="1">
      <c r="A37" s="54"/>
      <c r="B37" s="55"/>
      <c r="C37" s="144" t="s">
        <v>15</v>
      </c>
      <c r="D37" s="145"/>
      <c r="E37" s="31" t="s">
        <v>34</v>
      </c>
      <c r="F37" s="56" t="s">
        <v>35</v>
      </c>
      <c r="G37" s="145" t="s">
        <v>36</v>
      </c>
      <c r="H37" s="145"/>
      <c r="I37" s="146" t="s">
        <v>37</v>
      </c>
      <c r="J37" s="146"/>
      <c r="K37" s="146"/>
      <c r="L37" s="146"/>
      <c r="M37" s="147"/>
      <c r="N37" s="57"/>
      <c r="O37" s="209"/>
      <c r="P37" s="183"/>
      <c r="Q37" s="184"/>
      <c r="R37" s="58"/>
      <c r="S37" s="54"/>
      <c r="T37" s="54"/>
      <c r="U37" s="54"/>
      <c r="V37" s="54"/>
      <c r="W37" s="54"/>
    </row>
    <row r="38" spans="1:23" ht="11.25" customHeight="1">
      <c r="B38" s="21"/>
      <c r="C38" s="218">
        <f>IFERROR(SUMIFS('Colab - Realizado'!G14:G63,'Colab - Realizado'!B14:B63,Holerite!C8,'Colab - Realizado'!X14:X63,Holerite!H5),"")</f>
        <v>0</v>
      </c>
      <c r="D38" s="219"/>
      <c r="E38" s="60">
        <f>IFERROR(SUMIFS('Colab - Realizado'!P14:P63,'Colab - Realizado'!B14:B63,Holerite!C8,'Colab - Realizado'!X14:X63,Holerite!H5),"")</f>
        <v>0</v>
      </c>
      <c r="F38" s="61">
        <f>IFERROR(SUMIFS('Colab - Realizado'!P14:P63,'Colab - Realizado'!B14:B63,Holerite!C8,'Colab - Realizado'!X14:X63,Holerite!H5),"")</f>
        <v>0</v>
      </c>
      <c r="G38" s="219">
        <f>F38*0.08</f>
        <v>0</v>
      </c>
      <c r="H38" s="219"/>
      <c r="I38" s="150">
        <f>IFERROR(SUMIFS('Colab - Realizado'!P14:P63,'Colab - Realizado'!B14:B63,Holerite!C8,'Colab - Realizado'!X14:X63,Holerite!H5),"")</f>
        <v>0</v>
      </c>
      <c r="J38" s="150"/>
      <c r="K38" s="150"/>
      <c r="L38" s="151"/>
      <c r="M38" s="152"/>
      <c r="N38" s="22"/>
      <c r="O38" s="210"/>
      <c r="P38" s="62"/>
      <c r="Q38" s="63"/>
      <c r="R38" s="25"/>
    </row>
    <row r="39" spans="1:23" ht="9" customHeight="1">
      <c r="B39" s="64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23" s="16" customFormat="1" ht="4" customHeight="1"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</row>
    <row r="41" spans="1:23" s="67" customFormat="1" ht="33.75" customHeight="1">
      <c r="B41" s="199" t="s">
        <v>38</v>
      </c>
      <c r="C41" s="199"/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</row>
    <row r="42" spans="1:23" s="16" customFormat="1" ht="4" customHeight="1"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1:23" s="16" customFormat="1" ht="9" customHeight="1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9"/>
    </row>
    <row r="44" spans="1:23" s="16" customFormat="1">
      <c r="B44" s="21"/>
      <c r="C44" s="200" t="str">
        <f>IF(C3="","",C3)</f>
        <v>Empresa ABCDE</v>
      </c>
      <c r="D44" s="201"/>
      <c r="E44" s="201"/>
      <c r="F44" s="201"/>
      <c r="G44" s="204" t="s">
        <v>17</v>
      </c>
      <c r="H44" s="204"/>
      <c r="I44" s="204"/>
      <c r="J44" s="204"/>
      <c r="K44" s="204"/>
      <c r="L44" s="204"/>
      <c r="M44" s="205"/>
      <c r="N44" s="22"/>
      <c r="O44" s="208" t="s">
        <v>18</v>
      </c>
      <c r="P44" s="23"/>
      <c r="Q44" s="24"/>
      <c r="R44" s="25"/>
    </row>
    <row r="45" spans="1:23" s="16" customFormat="1" ht="5.25" customHeight="1">
      <c r="B45" s="21"/>
      <c r="C45" s="202"/>
      <c r="D45" s="203"/>
      <c r="E45" s="203"/>
      <c r="F45" s="203"/>
      <c r="G45" s="206"/>
      <c r="H45" s="206"/>
      <c r="I45" s="206"/>
      <c r="J45" s="206"/>
      <c r="K45" s="206"/>
      <c r="L45" s="206"/>
      <c r="M45" s="207"/>
      <c r="N45" s="22"/>
      <c r="O45" s="209"/>
      <c r="P45" s="211" t="s">
        <v>19</v>
      </c>
      <c r="Q45" s="26"/>
      <c r="R45" s="25"/>
    </row>
    <row r="46" spans="1:23" s="16" customFormat="1" ht="13">
      <c r="B46" s="21"/>
      <c r="C46" s="212" t="str">
        <f>IF(C5="","",C5)</f>
        <v xml:space="preserve">CNPJ: </v>
      </c>
      <c r="D46" s="213"/>
      <c r="E46" s="213"/>
      <c r="F46" s="213"/>
      <c r="G46" s="127"/>
      <c r="H46" s="226" t="str">
        <f>H5</f>
        <v>Janeiro</v>
      </c>
      <c r="I46" s="227"/>
      <c r="J46" s="227"/>
      <c r="K46" s="124" t="s">
        <v>95</v>
      </c>
      <c r="L46" s="226">
        <f>L5</f>
        <v>2021</v>
      </c>
      <c r="M46" s="228"/>
      <c r="N46" s="22"/>
      <c r="O46" s="209"/>
      <c r="P46" s="211"/>
      <c r="Q46" s="184" t="s">
        <v>20</v>
      </c>
      <c r="R46" s="25"/>
    </row>
    <row r="47" spans="1:23" s="16" customFormat="1" ht="2.15" customHeight="1">
      <c r="B47" s="21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22"/>
      <c r="O47" s="209"/>
      <c r="P47" s="211"/>
      <c r="Q47" s="184"/>
      <c r="R47" s="25"/>
    </row>
    <row r="48" spans="1:23" s="16" customFormat="1">
      <c r="B48" s="28"/>
      <c r="C48" s="29" t="s">
        <v>21</v>
      </c>
      <c r="D48" s="145" t="s">
        <v>22</v>
      </c>
      <c r="E48" s="145"/>
      <c r="F48" s="145"/>
      <c r="G48" s="30" t="s">
        <v>23</v>
      </c>
      <c r="H48" s="31" t="s">
        <v>60</v>
      </c>
      <c r="I48" s="31"/>
      <c r="J48" s="31"/>
      <c r="K48" s="32"/>
      <c r="L48" s="33"/>
      <c r="M48" s="34"/>
      <c r="N48" s="35"/>
      <c r="O48" s="209"/>
      <c r="P48" s="211"/>
      <c r="Q48" s="184"/>
      <c r="R48" s="36"/>
    </row>
    <row r="49" spans="2:18" s="16" customFormat="1" ht="13">
      <c r="B49" s="21"/>
      <c r="C49" s="38">
        <f>IF(C8="","",C8)</f>
        <v>9003</v>
      </c>
      <c r="D49" s="220" t="str">
        <f>IF(D8="","",D8)</f>
        <v>Paulo Vitor</v>
      </c>
      <c r="E49" s="220"/>
      <c r="F49" s="220"/>
      <c r="G49" s="104">
        <f>IF(G8="","",G8)</f>
        <v>6789</v>
      </c>
      <c r="H49" s="105" t="str">
        <f>IF(H8="","",H8)</f>
        <v>Almoxarife</v>
      </c>
      <c r="I49" s="102"/>
      <c r="J49" s="102"/>
      <c r="K49" s="102"/>
      <c r="L49" s="102"/>
      <c r="M49" s="103"/>
      <c r="N49" s="22"/>
      <c r="O49" s="209"/>
      <c r="P49" s="211"/>
      <c r="Q49" s="184"/>
      <c r="R49" s="25"/>
    </row>
    <row r="50" spans="2:18" s="16" customFormat="1" ht="9" customHeight="1">
      <c r="B50" s="21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22"/>
      <c r="O50" s="209"/>
      <c r="P50" s="211"/>
      <c r="Q50" s="184"/>
      <c r="R50" s="25"/>
    </row>
    <row r="51" spans="2:18" s="16" customFormat="1">
      <c r="B51" s="21"/>
      <c r="C51" s="39" t="s">
        <v>24</v>
      </c>
      <c r="D51" s="198" t="s">
        <v>25</v>
      </c>
      <c r="E51" s="198"/>
      <c r="F51" s="198"/>
      <c r="G51" s="39" t="s">
        <v>26</v>
      </c>
      <c r="H51" s="198" t="s">
        <v>27</v>
      </c>
      <c r="I51" s="198"/>
      <c r="J51" s="198"/>
      <c r="K51" s="198" t="s">
        <v>28</v>
      </c>
      <c r="L51" s="198"/>
      <c r="M51" s="198"/>
      <c r="N51" s="22"/>
      <c r="O51" s="209"/>
      <c r="P51" s="211"/>
      <c r="Q51" s="184"/>
      <c r="R51" s="25"/>
    </row>
    <row r="52" spans="2:18" s="16" customFormat="1" ht="2.15" customHeight="1">
      <c r="B52" s="21"/>
      <c r="C52" s="40"/>
      <c r="D52" s="214"/>
      <c r="E52" s="214"/>
      <c r="F52" s="214"/>
      <c r="G52" s="40"/>
      <c r="H52" s="214"/>
      <c r="I52" s="214"/>
      <c r="J52" s="214"/>
      <c r="K52" s="214"/>
      <c r="L52" s="214"/>
      <c r="M52" s="214"/>
      <c r="N52" s="22"/>
      <c r="O52" s="209"/>
      <c r="P52" s="211"/>
      <c r="Q52" s="184"/>
      <c r="R52" s="25"/>
    </row>
    <row r="53" spans="2:18" s="16" customFormat="1" ht="13">
      <c r="B53" s="21"/>
      <c r="C53" s="42">
        <f>IF(C12="","",C12)</f>
        <v>101</v>
      </c>
      <c r="D53" s="215" t="str">
        <f>IF(D12="","",D12)</f>
        <v>SALARIO</v>
      </c>
      <c r="E53" s="215"/>
      <c r="F53" s="215"/>
      <c r="G53" s="68" t="str">
        <f>IF(G12="","",G12)</f>
        <v>30 d</v>
      </c>
      <c r="H53" s="216">
        <f>IF(H12="","",H12)</f>
        <v>1500</v>
      </c>
      <c r="I53" s="217"/>
      <c r="J53" s="217"/>
      <c r="K53" s="196" t="str">
        <f>IF(K12="","",K12)</f>
        <v/>
      </c>
      <c r="L53" s="197"/>
      <c r="M53" s="197"/>
      <c r="N53" s="22"/>
      <c r="O53" s="209"/>
      <c r="P53" s="211"/>
      <c r="Q53" s="184"/>
      <c r="R53" s="25"/>
    </row>
    <row r="54" spans="2:18" s="16" customFormat="1" ht="13">
      <c r="B54" s="21"/>
      <c r="C54" s="44">
        <f t="shared" ref="C54:D69" si="0">IF(C13="","",C13)</f>
        <v>973</v>
      </c>
      <c r="D54" s="185" t="str">
        <f t="shared" si="0"/>
        <v>INSS</v>
      </c>
      <c r="E54" s="185"/>
      <c r="F54" s="185"/>
      <c r="G54" s="69" t="str">
        <f t="shared" ref="G54:H69" si="1">IF(G13="","",G13)</f>
        <v/>
      </c>
      <c r="H54" s="186" t="str">
        <f t="shared" si="1"/>
        <v/>
      </c>
      <c r="I54" s="187"/>
      <c r="J54" s="187"/>
      <c r="K54" s="188">
        <f>IF(K13="","",K13)</f>
        <v>155.96590909090909</v>
      </c>
      <c r="L54" s="189"/>
      <c r="M54" s="189"/>
      <c r="N54" s="22"/>
      <c r="O54" s="209"/>
      <c r="P54" s="211"/>
      <c r="Q54" s="184"/>
      <c r="R54" s="25"/>
    </row>
    <row r="55" spans="2:18" s="16" customFormat="1" ht="13">
      <c r="B55" s="21"/>
      <c r="C55" s="44">
        <f t="shared" si="0"/>
        <v>987</v>
      </c>
      <c r="D55" s="185" t="str">
        <f t="shared" si="0"/>
        <v>IRFF S.SALARIO</v>
      </c>
      <c r="E55" s="185"/>
      <c r="F55" s="185"/>
      <c r="G55" s="69">
        <f t="shared" si="1"/>
        <v>0</v>
      </c>
      <c r="H55" s="186" t="str">
        <f t="shared" si="1"/>
        <v/>
      </c>
      <c r="I55" s="187"/>
      <c r="J55" s="187"/>
      <c r="K55" s="188">
        <f>IF(K14="","",K14)</f>
        <v>1.4684659090908951</v>
      </c>
      <c r="L55" s="189"/>
      <c r="M55" s="189"/>
      <c r="N55" s="22"/>
      <c r="O55" s="209"/>
      <c r="P55" s="211"/>
      <c r="Q55" s="184"/>
      <c r="R55" s="25"/>
    </row>
    <row r="56" spans="2:18" s="16" customFormat="1" ht="13">
      <c r="B56" s="21"/>
      <c r="C56" s="44">
        <f t="shared" si="0"/>
        <v>123</v>
      </c>
      <c r="D56" s="185" t="str">
        <f t="shared" si="0"/>
        <v>HORA EXTRA 50%</v>
      </c>
      <c r="E56" s="185"/>
      <c r="F56" s="185"/>
      <c r="G56" s="69">
        <f t="shared" si="1"/>
        <v>0</v>
      </c>
      <c r="H56" s="186">
        <f t="shared" si="1"/>
        <v>0</v>
      </c>
      <c r="I56" s="187"/>
      <c r="J56" s="187"/>
      <c r="K56" s="188" t="str">
        <f>IF(K15="","",K15)</f>
        <v/>
      </c>
      <c r="L56" s="189"/>
      <c r="M56" s="189"/>
      <c r="N56" s="22"/>
      <c r="O56" s="209"/>
      <c r="P56" s="211"/>
      <c r="Q56" s="184"/>
      <c r="R56" s="25"/>
    </row>
    <row r="57" spans="2:18" s="16" customFormat="1" ht="13">
      <c r="B57" s="21"/>
      <c r="C57" s="44">
        <f t="shared" si="0"/>
        <v>124</v>
      </c>
      <c r="D57" s="185" t="str">
        <f t="shared" si="0"/>
        <v>HORA EXTRA 100%</v>
      </c>
      <c r="E57" s="185"/>
      <c r="F57" s="185"/>
      <c r="G57" s="69">
        <f t="shared" si="1"/>
        <v>0</v>
      </c>
      <c r="H57" s="186">
        <f t="shared" si="1"/>
        <v>0</v>
      </c>
      <c r="I57" s="187"/>
      <c r="J57" s="187"/>
      <c r="K57" s="188" t="str">
        <f t="shared" ref="K57:K70" si="2">IF(K16="","",K16)</f>
        <v/>
      </c>
      <c r="L57" s="189"/>
      <c r="M57" s="189"/>
      <c r="N57" s="22"/>
      <c r="O57" s="209"/>
      <c r="P57" s="211"/>
      <c r="Q57" s="184"/>
      <c r="R57" s="25"/>
    </row>
    <row r="58" spans="2:18" s="16" customFormat="1" ht="13">
      <c r="B58" s="21"/>
      <c r="C58" s="44" t="str">
        <f t="shared" si="0"/>
        <v/>
      </c>
      <c r="D58" s="185" t="str">
        <f t="shared" si="0"/>
        <v/>
      </c>
      <c r="E58" s="185"/>
      <c r="F58" s="185"/>
      <c r="G58" s="69" t="str">
        <f t="shared" si="1"/>
        <v/>
      </c>
      <c r="H58" s="186" t="str">
        <f t="shared" si="1"/>
        <v/>
      </c>
      <c r="I58" s="187"/>
      <c r="J58" s="187"/>
      <c r="K58" s="188" t="str">
        <f t="shared" si="2"/>
        <v/>
      </c>
      <c r="L58" s="189"/>
      <c r="M58" s="189"/>
      <c r="N58" s="22"/>
      <c r="O58" s="209"/>
      <c r="P58" s="211"/>
      <c r="Q58" s="184"/>
      <c r="R58" s="25"/>
    </row>
    <row r="59" spans="2:18" s="16" customFormat="1" ht="13">
      <c r="B59" s="21"/>
      <c r="C59" s="44" t="str">
        <f t="shared" si="0"/>
        <v/>
      </c>
      <c r="D59" s="185" t="str">
        <f t="shared" si="0"/>
        <v/>
      </c>
      <c r="E59" s="185"/>
      <c r="F59" s="185"/>
      <c r="G59" s="69" t="str">
        <f t="shared" si="1"/>
        <v/>
      </c>
      <c r="H59" s="186" t="str">
        <f t="shared" si="1"/>
        <v/>
      </c>
      <c r="I59" s="187"/>
      <c r="J59" s="187"/>
      <c r="K59" s="188" t="str">
        <f t="shared" si="2"/>
        <v/>
      </c>
      <c r="L59" s="189"/>
      <c r="M59" s="189"/>
      <c r="N59" s="22"/>
      <c r="O59" s="209"/>
      <c r="P59" s="211"/>
      <c r="Q59" s="184"/>
      <c r="R59" s="25"/>
    </row>
    <row r="60" spans="2:18" ht="13">
      <c r="B60" s="21"/>
      <c r="C60" s="44" t="str">
        <f t="shared" si="0"/>
        <v/>
      </c>
      <c r="D60" s="185" t="str">
        <f t="shared" si="0"/>
        <v/>
      </c>
      <c r="E60" s="185"/>
      <c r="F60" s="185"/>
      <c r="G60" s="69" t="str">
        <f t="shared" si="1"/>
        <v/>
      </c>
      <c r="H60" s="186" t="str">
        <f t="shared" si="1"/>
        <v/>
      </c>
      <c r="I60" s="187"/>
      <c r="J60" s="187"/>
      <c r="K60" s="188" t="str">
        <f t="shared" si="2"/>
        <v/>
      </c>
      <c r="L60" s="189"/>
      <c r="M60" s="189"/>
      <c r="N60" s="22"/>
      <c r="O60" s="209"/>
      <c r="P60" s="211"/>
      <c r="Q60" s="184"/>
      <c r="R60" s="25"/>
    </row>
    <row r="61" spans="2:18" ht="13">
      <c r="B61" s="21"/>
      <c r="C61" s="44" t="str">
        <f t="shared" si="0"/>
        <v/>
      </c>
      <c r="D61" s="185" t="str">
        <f t="shared" si="0"/>
        <v/>
      </c>
      <c r="E61" s="185"/>
      <c r="F61" s="185"/>
      <c r="G61" s="69" t="str">
        <f t="shared" si="1"/>
        <v/>
      </c>
      <c r="H61" s="186" t="str">
        <f t="shared" si="1"/>
        <v/>
      </c>
      <c r="I61" s="187"/>
      <c r="J61" s="187"/>
      <c r="K61" s="188" t="str">
        <f t="shared" si="2"/>
        <v/>
      </c>
      <c r="L61" s="189"/>
      <c r="M61" s="189"/>
      <c r="N61" s="22"/>
      <c r="O61" s="209"/>
      <c r="P61" s="211"/>
      <c r="Q61" s="184"/>
      <c r="R61" s="25"/>
    </row>
    <row r="62" spans="2:18" ht="13">
      <c r="B62" s="21"/>
      <c r="C62" s="44" t="str">
        <f t="shared" si="0"/>
        <v/>
      </c>
      <c r="D62" s="185" t="str">
        <f t="shared" si="0"/>
        <v/>
      </c>
      <c r="E62" s="185"/>
      <c r="F62" s="185"/>
      <c r="G62" s="69" t="str">
        <f t="shared" si="1"/>
        <v/>
      </c>
      <c r="H62" s="186" t="str">
        <f t="shared" si="1"/>
        <v/>
      </c>
      <c r="I62" s="187"/>
      <c r="J62" s="187"/>
      <c r="K62" s="188" t="str">
        <f t="shared" si="2"/>
        <v/>
      </c>
      <c r="L62" s="189"/>
      <c r="M62" s="189"/>
      <c r="N62" s="22"/>
      <c r="O62" s="209"/>
      <c r="P62" s="211"/>
      <c r="Q62" s="184"/>
      <c r="R62" s="25"/>
    </row>
    <row r="63" spans="2:18" ht="13">
      <c r="B63" s="21"/>
      <c r="C63" s="44" t="str">
        <f t="shared" si="0"/>
        <v/>
      </c>
      <c r="D63" s="185" t="str">
        <f t="shared" si="0"/>
        <v/>
      </c>
      <c r="E63" s="185"/>
      <c r="F63" s="185"/>
      <c r="G63" s="69" t="str">
        <f t="shared" si="1"/>
        <v/>
      </c>
      <c r="H63" s="186" t="str">
        <f t="shared" si="1"/>
        <v/>
      </c>
      <c r="I63" s="187"/>
      <c r="J63" s="187"/>
      <c r="K63" s="188" t="str">
        <f t="shared" si="2"/>
        <v/>
      </c>
      <c r="L63" s="189"/>
      <c r="M63" s="189"/>
      <c r="N63" s="22"/>
      <c r="O63" s="209"/>
      <c r="P63" s="211"/>
      <c r="Q63" s="184"/>
      <c r="R63" s="25"/>
    </row>
    <row r="64" spans="2:18" ht="13">
      <c r="B64" s="21"/>
      <c r="C64" s="44" t="str">
        <f t="shared" si="0"/>
        <v/>
      </c>
      <c r="D64" s="185" t="str">
        <f t="shared" si="0"/>
        <v/>
      </c>
      <c r="E64" s="185"/>
      <c r="F64" s="185"/>
      <c r="G64" s="69" t="str">
        <f t="shared" si="1"/>
        <v/>
      </c>
      <c r="H64" s="186" t="str">
        <f t="shared" si="1"/>
        <v/>
      </c>
      <c r="I64" s="187"/>
      <c r="J64" s="187"/>
      <c r="K64" s="188" t="str">
        <f t="shared" si="2"/>
        <v/>
      </c>
      <c r="L64" s="189"/>
      <c r="M64" s="189"/>
      <c r="N64" s="22"/>
      <c r="O64" s="209"/>
      <c r="P64" s="46"/>
      <c r="Q64" s="47"/>
      <c r="R64" s="25"/>
    </row>
    <row r="65" spans="2:18" ht="13">
      <c r="B65" s="21"/>
      <c r="C65" s="44" t="str">
        <f t="shared" si="0"/>
        <v/>
      </c>
      <c r="D65" s="185" t="str">
        <f t="shared" si="0"/>
        <v/>
      </c>
      <c r="E65" s="185"/>
      <c r="F65" s="185"/>
      <c r="G65" s="69" t="str">
        <f t="shared" si="1"/>
        <v/>
      </c>
      <c r="H65" s="186" t="str">
        <f t="shared" si="1"/>
        <v/>
      </c>
      <c r="I65" s="187"/>
      <c r="J65" s="187"/>
      <c r="K65" s="188" t="str">
        <f t="shared" si="2"/>
        <v/>
      </c>
      <c r="L65" s="189"/>
      <c r="M65" s="189"/>
      <c r="N65" s="22"/>
      <c r="O65" s="209"/>
      <c r="P65" s="46"/>
      <c r="Q65" s="47"/>
      <c r="R65" s="25"/>
    </row>
    <row r="66" spans="2:18" ht="13">
      <c r="B66" s="21"/>
      <c r="C66" s="44" t="str">
        <f t="shared" si="0"/>
        <v/>
      </c>
      <c r="D66" s="185" t="str">
        <f t="shared" si="0"/>
        <v/>
      </c>
      <c r="E66" s="185"/>
      <c r="F66" s="185"/>
      <c r="G66" s="69" t="str">
        <f t="shared" si="1"/>
        <v/>
      </c>
      <c r="H66" s="186" t="str">
        <f t="shared" si="1"/>
        <v/>
      </c>
      <c r="I66" s="187"/>
      <c r="J66" s="187"/>
      <c r="K66" s="188" t="str">
        <f t="shared" si="2"/>
        <v/>
      </c>
      <c r="L66" s="189"/>
      <c r="M66" s="189"/>
      <c r="N66" s="22"/>
      <c r="O66" s="209"/>
      <c r="P66" s="183" t="s">
        <v>29</v>
      </c>
      <c r="Q66" s="184" t="s">
        <v>30</v>
      </c>
      <c r="R66" s="25"/>
    </row>
    <row r="67" spans="2:18" ht="13">
      <c r="B67" s="21"/>
      <c r="C67" s="44" t="str">
        <f t="shared" si="0"/>
        <v/>
      </c>
      <c r="D67" s="185" t="str">
        <f t="shared" si="0"/>
        <v/>
      </c>
      <c r="E67" s="185"/>
      <c r="F67" s="185"/>
      <c r="G67" s="69" t="str">
        <f t="shared" si="1"/>
        <v/>
      </c>
      <c r="H67" s="186" t="str">
        <f t="shared" si="1"/>
        <v/>
      </c>
      <c r="I67" s="187"/>
      <c r="J67" s="187"/>
      <c r="K67" s="188" t="str">
        <f t="shared" si="2"/>
        <v/>
      </c>
      <c r="L67" s="189"/>
      <c r="M67" s="189"/>
      <c r="N67" s="22"/>
      <c r="O67" s="209"/>
      <c r="P67" s="183"/>
      <c r="Q67" s="184"/>
      <c r="R67" s="25"/>
    </row>
    <row r="68" spans="2:18" ht="13">
      <c r="B68" s="21"/>
      <c r="C68" s="44" t="str">
        <f t="shared" si="0"/>
        <v/>
      </c>
      <c r="D68" s="185" t="str">
        <f t="shared" si="0"/>
        <v/>
      </c>
      <c r="E68" s="185"/>
      <c r="F68" s="185"/>
      <c r="G68" s="69" t="str">
        <f t="shared" si="1"/>
        <v/>
      </c>
      <c r="H68" s="186" t="str">
        <f t="shared" si="1"/>
        <v/>
      </c>
      <c r="I68" s="187"/>
      <c r="J68" s="187"/>
      <c r="K68" s="188" t="str">
        <f t="shared" si="2"/>
        <v/>
      </c>
      <c r="L68" s="189"/>
      <c r="M68" s="189"/>
      <c r="N68" s="22"/>
      <c r="O68" s="209"/>
      <c r="P68" s="183"/>
      <c r="Q68" s="184"/>
      <c r="R68" s="25"/>
    </row>
    <row r="69" spans="2:18" ht="13">
      <c r="B69" s="21"/>
      <c r="C69" s="44" t="str">
        <f t="shared" si="0"/>
        <v/>
      </c>
      <c r="D69" s="185" t="str">
        <f t="shared" si="0"/>
        <v/>
      </c>
      <c r="E69" s="185"/>
      <c r="F69" s="185"/>
      <c r="G69" s="69" t="str">
        <f t="shared" si="1"/>
        <v/>
      </c>
      <c r="H69" s="186" t="str">
        <f t="shared" si="1"/>
        <v/>
      </c>
      <c r="I69" s="187"/>
      <c r="J69" s="187"/>
      <c r="K69" s="188" t="str">
        <f t="shared" si="2"/>
        <v/>
      </c>
      <c r="L69" s="189"/>
      <c r="M69" s="189"/>
      <c r="N69" s="22"/>
      <c r="O69" s="209"/>
      <c r="P69" s="183"/>
      <c r="Q69" s="184"/>
      <c r="R69" s="25"/>
    </row>
    <row r="70" spans="2:18" ht="13">
      <c r="B70" s="21"/>
      <c r="C70" s="48" t="str">
        <f>IF(C29="","",C29)</f>
        <v/>
      </c>
      <c r="D70" s="190" t="str">
        <f>IF(D29="","",D29)</f>
        <v/>
      </c>
      <c r="E70" s="190"/>
      <c r="F70" s="190"/>
      <c r="G70" s="70" t="str">
        <f>IF(G29="","",G29)</f>
        <v/>
      </c>
      <c r="H70" s="191" t="str">
        <f>IF(H29="","",H29)</f>
        <v/>
      </c>
      <c r="I70" s="192"/>
      <c r="J70" s="192"/>
      <c r="K70" s="193" t="str">
        <f t="shared" si="2"/>
        <v/>
      </c>
      <c r="L70" s="194"/>
      <c r="M70" s="194"/>
      <c r="N70" s="22"/>
      <c r="O70" s="209"/>
      <c r="P70" s="183"/>
      <c r="Q70" s="184"/>
      <c r="R70" s="25"/>
    </row>
    <row r="71" spans="2:18" ht="2.15" customHeight="1">
      <c r="B71" s="21"/>
      <c r="C71" s="50"/>
      <c r="D71" s="195"/>
      <c r="E71" s="195"/>
      <c r="F71" s="195"/>
      <c r="G71" s="50"/>
      <c r="H71" s="153"/>
      <c r="I71" s="153"/>
      <c r="J71" s="153"/>
      <c r="K71" s="153"/>
      <c r="L71" s="153"/>
      <c r="M71" s="153"/>
      <c r="N71" s="22"/>
      <c r="O71" s="209"/>
      <c r="P71" s="183"/>
      <c r="Q71" s="184"/>
      <c r="R71" s="25"/>
    </row>
    <row r="72" spans="2:18">
      <c r="B72" s="21"/>
      <c r="C72" s="154"/>
      <c r="D72" s="155"/>
      <c r="E72" s="155"/>
      <c r="F72" s="155"/>
      <c r="G72" s="156"/>
      <c r="H72" s="163" t="s">
        <v>31</v>
      </c>
      <c r="I72" s="164"/>
      <c r="J72" s="165"/>
      <c r="K72" s="163" t="s">
        <v>32</v>
      </c>
      <c r="L72" s="164"/>
      <c r="M72" s="165"/>
      <c r="N72" s="22"/>
      <c r="O72" s="209"/>
      <c r="P72" s="183"/>
      <c r="Q72" s="184"/>
      <c r="R72" s="25"/>
    </row>
    <row r="73" spans="2:18" ht="13">
      <c r="B73" s="21"/>
      <c r="C73" s="157"/>
      <c r="D73" s="158"/>
      <c r="E73" s="158"/>
      <c r="F73" s="158"/>
      <c r="G73" s="159"/>
      <c r="H73" s="166">
        <f>IF(H32="","",H32)</f>
        <v>1500</v>
      </c>
      <c r="I73" s="167"/>
      <c r="J73" s="168"/>
      <c r="K73" s="169">
        <f>IF(K32="","",K32)</f>
        <v>157.43437499999999</v>
      </c>
      <c r="L73" s="170"/>
      <c r="M73" s="171"/>
      <c r="N73" s="22"/>
      <c r="O73" s="209"/>
      <c r="P73" s="183"/>
      <c r="Q73" s="184"/>
      <c r="R73" s="25"/>
    </row>
    <row r="74" spans="2:18" ht="2.15" customHeight="1">
      <c r="B74" s="21"/>
      <c r="C74" s="157"/>
      <c r="D74" s="158"/>
      <c r="E74" s="158"/>
      <c r="F74" s="158"/>
      <c r="G74" s="159"/>
      <c r="H74" s="172"/>
      <c r="I74" s="172"/>
      <c r="J74" s="172"/>
      <c r="K74" s="172"/>
      <c r="L74" s="172"/>
      <c r="M74" s="172"/>
      <c r="N74" s="22"/>
      <c r="O74" s="209"/>
      <c r="P74" s="183"/>
      <c r="Q74" s="184"/>
      <c r="R74" s="25"/>
    </row>
    <row r="75" spans="2:18">
      <c r="B75" s="21"/>
      <c r="C75" s="157"/>
      <c r="D75" s="158"/>
      <c r="E75" s="158"/>
      <c r="F75" s="158"/>
      <c r="G75" s="159"/>
      <c r="H75" s="173" t="s">
        <v>33</v>
      </c>
      <c r="I75" s="174"/>
      <c r="J75" s="174"/>
      <c r="K75" s="177">
        <f>IF(K34="","",K34)</f>
        <v>1342.565625</v>
      </c>
      <c r="L75" s="178"/>
      <c r="M75" s="179"/>
      <c r="N75" s="22"/>
      <c r="O75" s="209"/>
      <c r="P75" s="183"/>
      <c r="Q75" s="184"/>
      <c r="R75" s="25"/>
    </row>
    <row r="76" spans="2:18">
      <c r="B76" s="21"/>
      <c r="C76" s="160"/>
      <c r="D76" s="161"/>
      <c r="E76" s="161"/>
      <c r="F76" s="161"/>
      <c r="G76" s="162"/>
      <c r="H76" s="175"/>
      <c r="I76" s="176"/>
      <c r="J76" s="176"/>
      <c r="K76" s="180"/>
      <c r="L76" s="181"/>
      <c r="M76" s="182"/>
      <c r="N76" s="22"/>
      <c r="O76" s="209"/>
      <c r="P76" s="183"/>
      <c r="Q76" s="184"/>
      <c r="R76" s="25"/>
    </row>
    <row r="77" spans="2:18" ht="2.15" customHeight="1">
      <c r="B77" s="21"/>
      <c r="C77" s="51"/>
      <c r="D77" s="51"/>
      <c r="E77" s="51"/>
      <c r="F77" s="51"/>
      <c r="G77" s="51"/>
      <c r="H77" s="52"/>
      <c r="I77" s="52"/>
      <c r="J77" s="52"/>
      <c r="K77" s="53"/>
      <c r="L77" s="53"/>
      <c r="M77" s="53"/>
      <c r="N77" s="22"/>
      <c r="O77" s="209"/>
      <c r="P77" s="183"/>
      <c r="Q77" s="184"/>
      <c r="R77" s="25"/>
    </row>
    <row r="78" spans="2:18">
      <c r="B78" s="55"/>
      <c r="C78" s="144" t="s">
        <v>15</v>
      </c>
      <c r="D78" s="145"/>
      <c r="E78" s="31" t="s">
        <v>34</v>
      </c>
      <c r="F78" s="56" t="s">
        <v>35</v>
      </c>
      <c r="G78" s="145" t="s">
        <v>36</v>
      </c>
      <c r="H78" s="145"/>
      <c r="I78" s="146" t="s">
        <v>37</v>
      </c>
      <c r="J78" s="146"/>
      <c r="K78" s="146"/>
      <c r="L78" s="146"/>
      <c r="M78" s="147"/>
      <c r="N78" s="57"/>
      <c r="O78" s="209"/>
      <c r="P78" s="183"/>
      <c r="Q78" s="184"/>
      <c r="R78" s="58"/>
    </row>
    <row r="79" spans="2:18" ht="13">
      <c r="B79" s="21"/>
      <c r="C79" s="148">
        <f>IF(C38="","",C38)</f>
        <v>0</v>
      </c>
      <c r="D79" s="149"/>
      <c r="E79" s="71">
        <f>IF(E38="","",E38)</f>
        <v>0</v>
      </c>
      <c r="F79" s="72">
        <f>IF(F38="","",F38)</f>
        <v>0</v>
      </c>
      <c r="G79" s="149">
        <f>IF(G38="","",G38)</f>
        <v>0</v>
      </c>
      <c r="H79" s="149"/>
      <c r="I79" s="150">
        <f>IF(I38="","",I38)</f>
        <v>0</v>
      </c>
      <c r="J79" s="150"/>
      <c r="K79" s="150"/>
      <c r="L79" s="151"/>
      <c r="M79" s="152"/>
      <c r="N79" s="22"/>
      <c r="O79" s="210"/>
      <c r="P79" s="62"/>
      <c r="Q79" s="63"/>
      <c r="R79" s="25"/>
    </row>
    <row r="80" spans="2:18" ht="9" customHeight="1">
      <c r="B80" s="64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6"/>
    </row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</sheetData>
  <mergeCells count="187">
    <mergeCell ref="L5:M5"/>
    <mergeCell ref="H5:J5"/>
    <mergeCell ref="H46:J46"/>
    <mergeCell ref="L46:M46"/>
    <mergeCell ref="C3:F4"/>
    <mergeCell ref="G3:M4"/>
    <mergeCell ref="O3:O38"/>
    <mergeCell ref="P4:P22"/>
    <mergeCell ref="C5:F5"/>
    <mergeCell ref="H11:J11"/>
    <mergeCell ref="K11:M11"/>
    <mergeCell ref="D12:F12"/>
    <mergeCell ref="H12:J12"/>
    <mergeCell ref="K12:M12"/>
    <mergeCell ref="D13:F13"/>
    <mergeCell ref="H13:J13"/>
    <mergeCell ref="K13:M13"/>
    <mergeCell ref="D14:F14"/>
    <mergeCell ref="H14:J14"/>
    <mergeCell ref="K14:M14"/>
    <mergeCell ref="D22:F22"/>
    <mergeCell ref="H22:J22"/>
    <mergeCell ref="K22:M22"/>
    <mergeCell ref="D19:F19"/>
    <mergeCell ref="H19:J19"/>
    <mergeCell ref="K19:M19"/>
    <mergeCell ref="D20:F20"/>
    <mergeCell ref="Q5:Q22"/>
    <mergeCell ref="C6:M6"/>
    <mergeCell ref="D7:F7"/>
    <mergeCell ref="D8:F8"/>
    <mergeCell ref="C9:M9"/>
    <mergeCell ref="D10:F10"/>
    <mergeCell ref="H10:J10"/>
    <mergeCell ref="K10:M10"/>
    <mergeCell ref="D11:F11"/>
    <mergeCell ref="D17:F17"/>
    <mergeCell ref="H17:J17"/>
    <mergeCell ref="K17:M17"/>
    <mergeCell ref="D18:F18"/>
    <mergeCell ref="H18:J18"/>
    <mergeCell ref="K18:M18"/>
    <mergeCell ref="D15:F15"/>
    <mergeCell ref="H15:J15"/>
    <mergeCell ref="K15:M15"/>
    <mergeCell ref="D16:F16"/>
    <mergeCell ref="H16:J16"/>
    <mergeCell ref="K16:M16"/>
    <mergeCell ref="D21:F21"/>
    <mergeCell ref="H21:J21"/>
    <mergeCell ref="K21:M21"/>
    <mergeCell ref="H20:J20"/>
    <mergeCell ref="K20:M20"/>
    <mergeCell ref="P25:P37"/>
    <mergeCell ref="Q25:Q37"/>
    <mergeCell ref="D26:F26"/>
    <mergeCell ref="H26:J26"/>
    <mergeCell ref="K26:M26"/>
    <mergeCell ref="D27:F27"/>
    <mergeCell ref="H27:J27"/>
    <mergeCell ref="D23:F23"/>
    <mergeCell ref="H23:J23"/>
    <mergeCell ref="K23:M23"/>
    <mergeCell ref="D24:F24"/>
    <mergeCell ref="H24:J24"/>
    <mergeCell ref="K24:M24"/>
    <mergeCell ref="K27:M27"/>
    <mergeCell ref="D28:F28"/>
    <mergeCell ref="H28:J28"/>
    <mergeCell ref="K28:M28"/>
    <mergeCell ref="D29:F29"/>
    <mergeCell ref="H29:J29"/>
    <mergeCell ref="K29:M29"/>
    <mergeCell ref="D25:F25"/>
    <mergeCell ref="H25:J25"/>
    <mergeCell ref="K25:M25"/>
    <mergeCell ref="D30:F30"/>
    <mergeCell ref="H30:J30"/>
    <mergeCell ref="K30:M30"/>
    <mergeCell ref="C31:G35"/>
    <mergeCell ref="H31:J31"/>
    <mergeCell ref="K31:M31"/>
    <mergeCell ref="H32:J32"/>
    <mergeCell ref="K32:M32"/>
    <mergeCell ref="H33:M33"/>
    <mergeCell ref="H34:J35"/>
    <mergeCell ref="K34:M35"/>
    <mergeCell ref="C37:D37"/>
    <mergeCell ref="G37:H37"/>
    <mergeCell ref="I37:K37"/>
    <mergeCell ref="L37:M37"/>
    <mergeCell ref="C38:D38"/>
    <mergeCell ref="G38:H38"/>
    <mergeCell ref="I38:K38"/>
    <mergeCell ref="L38:M38"/>
    <mergeCell ref="D49:F49"/>
    <mergeCell ref="C50:M50"/>
    <mergeCell ref="D51:F51"/>
    <mergeCell ref="H51:J51"/>
    <mergeCell ref="K51:M51"/>
    <mergeCell ref="B41:R41"/>
    <mergeCell ref="C44:F45"/>
    <mergeCell ref="G44:M45"/>
    <mergeCell ref="O44:O79"/>
    <mergeCell ref="P45:P63"/>
    <mergeCell ref="C46:F46"/>
    <mergeCell ref="Q46:Q63"/>
    <mergeCell ref="C47:M47"/>
    <mergeCell ref="D48:F48"/>
    <mergeCell ref="D54:F54"/>
    <mergeCell ref="H54:J54"/>
    <mergeCell ref="K54:M54"/>
    <mergeCell ref="D55:F55"/>
    <mergeCell ref="H55:J55"/>
    <mergeCell ref="K55:M55"/>
    <mergeCell ref="D52:F52"/>
    <mergeCell ref="H52:J52"/>
    <mergeCell ref="K52:M52"/>
    <mergeCell ref="D53:F53"/>
    <mergeCell ref="H53:J53"/>
    <mergeCell ref="K53:M53"/>
    <mergeCell ref="D58:F58"/>
    <mergeCell ref="H58:J58"/>
    <mergeCell ref="K58:M58"/>
    <mergeCell ref="D59:F59"/>
    <mergeCell ref="H59:J59"/>
    <mergeCell ref="K59:M59"/>
    <mergeCell ref="D56:F56"/>
    <mergeCell ref="H56:J56"/>
    <mergeCell ref="K56:M56"/>
    <mergeCell ref="D57:F57"/>
    <mergeCell ref="H57:J57"/>
    <mergeCell ref="K57:M57"/>
    <mergeCell ref="D62:F62"/>
    <mergeCell ref="H62:J62"/>
    <mergeCell ref="K62:M62"/>
    <mergeCell ref="D63:F63"/>
    <mergeCell ref="H63:J63"/>
    <mergeCell ref="K63:M63"/>
    <mergeCell ref="D60:F60"/>
    <mergeCell ref="H60:J60"/>
    <mergeCell ref="K60:M60"/>
    <mergeCell ref="D61:F61"/>
    <mergeCell ref="H61:J61"/>
    <mergeCell ref="K61:M61"/>
    <mergeCell ref="P66:P78"/>
    <mergeCell ref="Q66:Q78"/>
    <mergeCell ref="D67:F67"/>
    <mergeCell ref="H67:J67"/>
    <mergeCell ref="K67:M67"/>
    <mergeCell ref="D68:F68"/>
    <mergeCell ref="H68:J68"/>
    <mergeCell ref="D64:F64"/>
    <mergeCell ref="H64:J64"/>
    <mergeCell ref="K64:M64"/>
    <mergeCell ref="D65:F65"/>
    <mergeCell ref="H65:J65"/>
    <mergeCell ref="K65:M65"/>
    <mergeCell ref="K68:M68"/>
    <mergeCell ref="D69:F69"/>
    <mergeCell ref="H69:J69"/>
    <mergeCell ref="K69:M69"/>
    <mergeCell ref="D70:F70"/>
    <mergeCell ref="H70:J70"/>
    <mergeCell ref="K70:M70"/>
    <mergeCell ref="D66:F66"/>
    <mergeCell ref="H66:J66"/>
    <mergeCell ref="K66:M66"/>
    <mergeCell ref="D71:F71"/>
    <mergeCell ref="C78:D78"/>
    <mergeCell ref="G78:H78"/>
    <mergeCell ref="I78:K78"/>
    <mergeCell ref="L78:M78"/>
    <mergeCell ref="C79:D79"/>
    <mergeCell ref="G79:H79"/>
    <mergeCell ref="I79:K79"/>
    <mergeCell ref="L79:M79"/>
    <mergeCell ref="H71:J71"/>
    <mergeCell ref="K71:M71"/>
    <mergeCell ref="C72:G76"/>
    <mergeCell ref="H72:J72"/>
    <mergeCell ref="K72:M72"/>
    <mergeCell ref="H73:J73"/>
    <mergeCell ref="K73:M73"/>
    <mergeCell ref="H74:M74"/>
    <mergeCell ref="H75:J76"/>
    <mergeCell ref="K75:M76"/>
  </mergeCells>
  <dataValidations count="3">
    <dataValidation type="list" allowBlank="1" showInputMessage="1" showErrorMessage="1" sqref="C8" xr:uid="{605A1CA8-7E78-4EFC-9601-B706A26BA63B}">
      <formula1>matricula</formula1>
    </dataValidation>
    <dataValidation type="list" allowBlank="1" showInputMessage="1" showErrorMessage="1" sqref="H5" xr:uid="{6408C29B-885F-484E-A103-29CD81E96124}">
      <formula1>meses</formula1>
    </dataValidation>
    <dataValidation type="list" allowBlank="1" showInputMessage="1" showErrorMessage="1" sqref="L5:M5" xr:uid="{898FBCF7-24FB-442B-9F0D-0300BFE2235B}">
      <formula1>anos</formula1>
    </dataValidation>
  </dataValidations>
  <printOptions horizontalCentered="1"/>
  <pageMargins left="0.19685039370078741" right="0.19685039370078741" top="0.19685039370078741" bottom="0.19685039370078741" header="0.11811023622047245" footer="0.11811023622047245"/>
  <pageSetup paperSize="9" scale="97" orientation="portrait" horizontalDpi="4294967294" verticalDpi="4294967294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F8AFA-8A72-43E8-96F5-CD3843E936D9}">
  <sheetPr codeName="Planilha4">
    <tabColor theme="8" tint="-0.499984740745262"/>
    <pageSetUpPr fitToPage="1"/>
  </sheetPr>
  <dimension ref="A1:V88"/>
  <sheetViews>
    <sheetView showGridLines="0" showRowColHeaders="0" zoomScale="80" zoomScaleNormal="80" workbookViewId="0">
      <selection activeCell="R9" sqref="R9"/>
    </sheetView>
  </sheetViews>
  <sheetFormatPr defaultColWidth="0" defaultRowHeight="14.5" customHeight="1"/>
  <cols>
    <col min="1" max="1" width="2.81640625" customWidth="1"/>
    <col min="2" max="2" width="19.453125" customWidth="1"/>
    <col min="3" max="3" width="20.81640625" customWidth="1"/>
    <col min="4" max="4" width="12.453125" bestFit="1" customWidth="1"/>
    <col min="5" max="6" width="8.81640625" customWidth="1"/>
    <col min="7" max="7" width="14.26953125" bestFit="1" customWidth="1"/>
    <col min="8" max="8" width="12.453125" bestFit="1" customWidth="1"/>
    <col min="9" max="21" width="8.81640625" customWidth="1"/>
    <col min="22" max="22" width="2.81640625" customWidth="1"/>
    <col min="23" max="16384" width="8.81640625" hidden="1"/>
  </cols>
  <sheetData>
    <row r="1" spans="2:21" s="2" customFormat="1"/>
    <row r="2" spans="2:21" s="2" customFormat="1"/>
    <row r="3" spans="2:21" s="2" customFormat="1"/>
    <row r="4" spans="2:21" ht="2.15" customHeight="1"/>
    <row r="5" spans="2:21" s="1" customFormat="1" ht="5.15" customHeight="1"/>
    <row r="6" spans="2:21" ht="3" customHeight="1"/>
    <row r="7" spans="2:21" s="1" customFormat="1" ht="5.15" customHeight="1"/>
    <row r="8" spans="2:21" ht="2.15" customHeight="1"/>
    <row r="9" spans="2:21" ht="30" customHeight="1"/>
    <row r="10" spans="2:21" ht="5.15" customHeight="1"/>
    <row r="11" spans="2:21" ht="25" customHeight="1">
      <c r="B11" s="121" t="s">
        <v>0</v>
      </c>
      <c r="C11" s="238" t="str">
        <f>CG!C10</f>
        <v>Empresa ABCDE</v>
      </c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40"/>
    </row>
    <row r="12" spans="2:21" ht="5.15" customHeight="1"/>
    <row r="13" spans="2:21" ht="5.15" customHeight="1"/>
    <row r="14" spans="2:21" ht="25" customHeight="1">
      <c r="B14" s="107" t="s">
        <v>66</v>
      </c>
      <c r="C14" s="108">
        <f>SUM('Colab - Realizado'!U14:U63)</f>
        <v>6963.0414772727272</v>
      </c>
    </row>
    <row r="15" spans="2:21" ht="5.15" customHeight="1"/>
    <row r="16" spans="2:21" ht="25" customHeight="1">
      <c r="B16" s="107" t="s">
        <v>67</v>
      </c>
      <c r="C16" s="108">
        <f>SUM('Colab - Realizado'!Q14:Q63)</f>
        <v>768.47727272727275</v>
      </c>
      <c r="L16" s="7"/>
    </row>
    <row r="17" spans="2:12" ht="5.15" customHeight="1">
      <c r="L17" s="7"/>
    </row>
    <row r="18" spans="2:12" ht="25" customHeight="1">
      <c r="B18" s="107" t="s">
        <v>68</v>
      </c>
      <c r="C18" s="108">
        <f>SUM('Colab - Realizado'!R14:R63)</f>
        <v>101.4357954545454</v>
      </c>
      <c r="L18" s="7"/>
    </row>
    <row r="19" spans="2:12" ht="5.15" customHeight="1">
      <c r="L19" s="7"/>
    </row>
    <row r="20" spans="2:12" ht="25" customHeight="1">
      <c r="B20" s="107" t="s">
        <v>69</v>
      </c>
      <c r="C20" s="108">
        <f>SUM('Colab - Realizado'!K14:K63)</f>
        <v>382.9545454545455</v>
      </c>
    </row>
    <row r="83" spans="2:8" ht="14.5" customHeight="1">
      <c r="B83" s="109" t="s">
        <v>70</v>
      </c>
      <c r="C83" t="s">
        <v>73</v>
      </c>
      <c r="D83" t="s">
        <v>49</v>
      </c>
      <c r="F83" s="109" t="s">
        <v>70</v>
      </c>
      <c r="G83" t="s">
        <v>73</v>
      </c>
      <c r="H83" t="s">
        <v>49</v>
      </c>
    </row>
    <row r="84" spans="2:8" ht="14.5" customHeight="1">
      <c r="B84" s="110" t="s">
        <v>7</v>
      </c>
      <c r="C84" s="11">
        <v>3257.55</v>
      </c>
      <c r="D84" s="11">
        <v>1380.681818181818</v>
      </c>
      <c r="F84" s="110" t="s">
        <v>9</v>
      </c>
      <c r="G84" s="11">
        <v>1127.6590909090908</v>
      </c>
      <c r="H84" s="11">
        <v>19.09090909090909</v>
      </c>
    </row>
    <row r="85" spans="2:8" ht="14.5" customHeight="1">
      <c r="B85" s="110" t="s">
        <v>13</v>
      </c>
      <c r="C85" s="11">
        <v>1825.8238636363635</v>
      </c>
      <c r="D85" s="11">
        <v>23.863636363636363</v>
      </c>
      <c r="F85" s="110" t="s">
        <v>6</v>
      </c>
      <c r="G85" s="11">
        <v>3257.55</v>
      </c>
      <c r="H85" s="11">
        <v>1380.681818181818</v>
      </c>
    </row>
    <row r="86" spans="2:8" ht="14.5" customHeight="1">
      <c r="B86" s="110" t="s">
        <v>10</v>
      </c>
      <c r="C86" s="11">
        <v>1127.6590909090908</v>
      </c>
      <c r="D86" s="11">
        <v>19.09090909090909</v>
      </c>
      <c r="F86" s="110" t="s">
        <v>12</v>
      </c>
      <c r="G86" s="11">
        <v>1825.8238636363635</v>
      </c>
      <c r="H86" s="11">
        <v>23.863636363636363</v>
      </c>
    </row>
    <row r="87" spans="2:8" ht="14.5" customHeight="1">
      <c r="B87" s="110" t="s">
        <v>71</v>
      </c>
      <c r="C87" s="11">
        <v>0</v>
      </c>
      <c r="D87" s="11">
        <v>0</v>
      </c>
      <c r="F87" s="110" t="s">
        <v>71</v>
      </c>
      <c r="G87" s="11">
        <v>0</v>
      </c>
      <c r="H87" s="11">
        <v>0</v>
      </c>
    </row>
    <row r="88" spans="2:8" ht="14.5" customHeight="1">
      <c r="B88" s="110" t="s">
        <v>72</v>
      </c>
      <c r="C88" s="11">
        <v>6211.0329545454542</v>
      </c>
      <c r="D88" s="11">
        <v>1423.6363636363633</v>
      </c>
      <c r="F88" s="110" t="s">
        <v>72</v>
      </c>
      <c r="G88" s="11">
        <v>6211.0329545454551</v>
      </c>
      <c r="H88" s="11">
        <v>1423.6363636363633</v>
      </c>
    </row>
  </sheetData>
  <sheetProtection selectLockedCells="1" selectUnlockedCells="1"/>
  <mergeCells count="1">
    <mergeCell ref="C11:U11"/>
  </mergeCells>
  <conditionalFormatting sqref="C11">
    <cfRule type="cellIs" dxfId="0" priority="1" operator="equal">
      <formula>0</formula>
    </cfRule>
  </conditionalFormatting>
  <printOptions horizontalCentered="1"/>
  <pageMargins left="0.51181102362204722" right="0.51181102362204722" top="0.78740157480314965" bottom="0.78740157480314965" header="0.31496062992125984" footer="0.31496062992125984"/>
  <pageSetup paperSize="9" scale="62" orientation="landscape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7E1BB-DD18-4AE7-8F93-23684D7A1801}">
  <sheetPr codeName="Planilha3">
    <tabColor theme="5"/>
  </sheetPr>
  <dimension ref="A1:M159"/>
  <sheetViews>
    <sheetView showGridLines="0" showRowColHeaders="0" zoomScale="85" zoomScaleNormal="85" workbookViewId="0">
      <pane ySplit="10" topLeftCell="A11" activePane="bottomLeft" state="frozen"/>
      <selection pane="bottomLeft"/>
    </sheetView>
  </sheetViews>
  <sheetFormatPr defaultColWidth="0" defaultRowHeight="14.5" customHeight="1" zeroHeight="1"/>
  <cols>
    <col min="1" max="1" width="1.81640625" customWidth="1"/>
    <col min="2" max="2" width="40.81640625" customWidth="1"/>
    <col min="3" max="3" width="17.81640625" customWidth="1"/>
    <col min="4" max="4" width="1.81640625" customWidth="1"/>
    <col min="5" max="5" width="40.81640625" customWidth="1"/>
    <col min="6" max="6" width="17.81640625" customWidth="1"/>
    <col min="7" max="7" width="1.81640625" customWidth="1"/>
    <col min="8" max="8" width="52.453125" customWidth="1"/>
    <col min="9" max="9" width="25.81640625" customWidth="1"/>
    <col min="10" max="10" width="1.81640625" customWidth="1"/>
    <col min="11" max="11" width="25" hidden="1" customWidth="1"/>
    <col min="12" max="12" width="6.81640625" hidden="1" customWidth="1"/>
    <col min="13" max="13" width="3.81640625" hidden="1" customWidth="1"/>
    <col min="14" max="16384" width="8.81640625" hidden="1"/>
  </cols>
  <sheetData>
    <row r="1" spans="2:2" s="2" customFormat="1"/>
    <row r="2" spans="2:2" s="2" customFormat="1"/>
    <row r="3" spans="2:2" s="2" customFormat="1"/>
    <row r="4" spans="2:2" ht="2.15" customHeight="1"/>
    <row r="5" spans="2:2" s="1" customFormat="1" ht="5.15" customHeight="1"/>
    <row r="6" spans="2:2" ht="3" customHeight="1"/>
    <row r="7" spans="2:2" s="1" customFormat="1" ht="5.15" customHeight="1"/>
    <row r="8" spans="2:2" ht="2.15" customHeight="1"/>
    <row r="9" spans="2:2" ht="25" customHeight="1"/>
    <row r="10" spans="2:2" ht="25" customHeight="1"/>
    <row r="11" spans="2:2" ht="14.5" customHeight="1">
      <c r="B11" s="3"/>
    </row>
    <row r="12" spans="2:2" ht="14.5" customHeight="1"/>
    <row r="13" spans="2:2" ht="14.5" customHeight="1"/>
    <row r="14" spans="2:2" ht="14.5" customHeight="1"/>
    <row r="15" spans="2:2" ht="14.5" customHeight="1"/>
    <row r="16" spans="2:2" ht="14.5" customHeight="1"/>
    <row r="17" ht="14.5" customHeight="1"/>
    <row r="18" ht="14.5" customHeight="1"/>
    <row r="19" ht="14.5" customHeight="1"/>
    <row r="20" ht="14.5" customHeight="1"/>
    <row r="21" ht="14.5" customHeight="1"/>
    <row r="22" ht="14.5" customHeight="1"/>
    <row r="23" ht="14.5" customHeight="1"/>
    <row r="24" ht="14.5" customHeight="1"/>
    <row r="25" ht="14.5" customHeight="1"/>
    <row r="26" ht="14.5" customHeight="1"/>
    <row r="27" ht="14.5" customHeight="1"/>
    <row r="28" ht="14.5" customHeight="1"/>
    <row r="29" ht="14.5" customHeight="1"/>
    <row r="30" ht="14.5" customHeight="1"/>
    <row r="31" ht="14.5" customHeight="1"/>
    <row r="32" ht="14.5" customHeight="1"/>
    <row r="33" spans="2:2" ht="14.5" customHeight="1"/>
    <row r="34" spans="2:2" ht="14.5" customHeight="1">
      <c r="B34" s="3"/>
    </row>
    <row r="35" spans="2:2" ht="14.5" customHeight="1"/>
    <row r="36" spans="2:2" ht="14.5" customHeight="1"/>
    <row r="37" spans="2:2" ht="15" customHeight="1"/>
    <row r="38" spans="2:2" ht="15" customHeight="1"/>
    <row r="39" spans="2:2" ht="15" customHeight="1"/>
    <row r="40" spans="2:2" ht="15" customHeight="1"/>
    <row r="41" spans="2:2" ht="15" customHeight="1"/>
    <row r="42" spans="2:2" ht="15" customHeight="1"/>
    <row r="43" spans="2:2" ht="15" customHeight="1"/>
    <row r="44" spans="2:2" ht="15" customHeight="1"/>
    <row r="45" spans="2:2" ht="15" customHeight="1"/>
    <row r="46" spans="2:2" ht="15" customHeight="1"/>
    <row r="47" spans="2:2" ht="15" customHeight="1"/>
    <row r="48" spans="2:2" ht="15" customHeight="1"/>
    <row r="49" spans="2:2" ht="14.5" customHeight="1"/>
    <row r="50" spans="2:2" ht="14.5" customHeight="1"/>
    <row r="51" spans="2:2" ht="14.5" customHeight="1"/>
    <row r="52" spans="2:2" ht="14.5" customHeight="1"/>
    <row r="53" spans="2:2" ht="14.5" customHeight="1"/>
    <row r="54" spans="2:2" ht="14.5" customHeight="1"/>
    <row r="55" spans="2:2" ht="14.5" customHeight="1"/>
    <row r="56" spans="2:2" ht="14.5" customHeight="1"/>
    <row r="57" spans="2:2" ht="14.5" customHeight="1"/>
    <row r="58" spans="2:2" ht="14.5" customHeight="1">
      <c r="B58" s="3"/>
    </row>
    <row r="59" spans="2:2" ht="14.5" customHeight="1"/>
    <row r="60" spans="2:2" ht="14.5" customHeight="1"/>
    <row r="61" spans="2:2" ht="14.5" customHeight="1"/>
    <row r="62" spans="2:2" ht="14.5" customHeight="1"/>
    <row r="63" spans="2:2" ht="14.5" customHeight="1"/>
    <row r="64" spans="2:2" ht="14.5" customHeight="1"/>
    <row r="65" spans="2:2" ht="14.5" customHeight="1"/>
    <row r="66" spans="2:2" ht="14.5" customHeight="1"/>
    <row r="67" spans="2:2" ht="14.5" customHeight="1"/>
    <row r="68" spans="2:2" ht="14.5" customHeight="1"/>
    <row r="69" spans="2:2" ht="14.5" customHeight="1"/>
    <row r="70" spans="2:2" ht="14.5" customHeight="1"/>
    <row r="71" spans="2:2" ht="14.5" customHeight="1"/>
    <row r="72" spans="2:2" ht="14.5" customHeight="1"/>
    <row r="73" spans="2:2" ht="14.5" customHeight="1"/>
    <row r="74" spans="2:2" ht="14.5" customHeight="1"/>
    <row r="75" spans="2:2" ht="14.5" customHeight="1"/>
    <row r="76" spans="2:2" ht="14.5" customHeight="1"/>
    <row r="77" spans="2:2" ht="14.5" customHeight="1"/>
    <row r="78" spans="2:2" ht="14.5" customHeight="1"/>
    <row r="79" spans="2:2" ht="14.5" customHeight="1">
      <c r="B79" s="3"/>
    </row>
    <row r="80" spans="2:2" ht="14.5" customHeight="1"/>
    <row r="81" ht="14.5" customHeight="1"/>
    <row r="82" ht="14.5" customHeight="1"/>
    <row r="83" ht="14.5" customHeight="1"/>
    <row r="84" ht="14.5" customHeight="1"/>
    <row r="85" ht="14.5" customHeight="1"/>
    <row r="86" ht="14.5" customHeight="1"/>
    <row r="87" ht="14.5" customHeight="1"/>
    <row r="88" ht="14.5" customHeight="1"/>
    <row r="89" ht="14.5" customHeight="1"/>
    <row r="90" ht="14.5" customHeight="1"/>
    <row r="91" ht="14.5" customHeight="1"/>
    <row r="92" ht="14.5" customHeight="1"/>
    <row r="93" ht="14.5" customHeight="1"/>
    <row r="94" ht="14.5" customHeight="1"/>
    <row r="95" ht="14.5" customHeight="1"/>
    <row r="96" ht="14.5" customHeight="1"/>
    <row r="97" spans="2:2" ht="14.5" customHeight="1"/>
    <row r="98" spans="2:2" ht="14.5" customHeight="1"/>
    <row r="99" spans="2:2" ht="14.5" customHeight="1"/>
    <row r="100" spans="2:2" ht="14.5" customHeight="1"/>
    <row r="101" spans="2:2" ht="14.5" customHeight="1"/>
    <row r="102" spans="2:2" ht="14.5" customHeight="1"/>
    <row r="103" spans="2:2" ht="14.5" customHeight="1"/>
    <row r="104" spans="2:2" ht="14.5" customHeight="1"/>
    <row r="105" spans="2:2" ht="14.5" customHeight="1">
      <c r="B105" s="3"/>
    </row>
    <row r="106" spans="2:2" ht="14.5" customHeight="1"/>
    <row r="107" spans="2:2" ht="14.5" customHeight="1"/>
    <row r="108" spans="2:2" ht="14.5" customHeight="1"/>
    <row r="109" spans="2:2" ht="14.5" customHeight="1"/>
    <row r="110" spans="2:2" ht="14.5" customHeight="1"/>
    <row r="111" spans="2:2" ht="14.5" customHeight="1"/>
    <row r="112" spans="2:2" ht="14.5" customHeight="1"/>
    <row r="113" ht="14.5" customHeight="1"/>
    <row r="114" ht="14.5" customHeight="1"/>
    <row r="115" ht="14.5" customHeight="1"/>
    <row r="116" ht="14.5" customHeight="1"/>
    <row r="117" ht="14.5" customHeight="1"/>
    <row r="118" ht="14.5" customHeight="1"/>
    <row r="119" ht="14.5" customHeight="1"/>
    <row r="120" ht="14.5" customHeight="1"/>
    <row r="121" ht="14.5" customHeight="1"/>
    <row r="122" ht="14.5" customHeight="1"/>
    <row r="123" ht="14.5" customHeight="1"/>
    <row r="124" ht="14.5" customHeight="1"/>
    <row r="125" ht="14.5" customHeight="1"/>
    <row r="126" ht="14.5" customHeight="1"/>
    <row r="127" ht="14.5" customHeight="1"/>
    <row r="128" ht="14.5" customHeight="1"/>
    <row r="129" ht="14.5" customHeight="1"/>
    <row r="130" ht="14.5" customHeight="1"/>
    <row r="131" ht="14.5" customHeight="1"/>
    <row r="132" ht="14.5" customHeight="1"/>
    <row r="133" ht="14.5" customHeight="1"/>
    <row r="134" ht="14.5" customHeight="1"/>
    <row r="135" ht="14.5" customHeight="1"/>
    <row r="136" ht="14.5" customHeight="1"/>
    <row r="137" ht="14.5" customHeight="1"/>
    <row r="138" ht="14.5" customHeight="1"/>
    <row r="139" ht="14.5" customHeight="1"/>
    <row r="140" ht="14.5" customHeight="1"/>
    <row r="141" ht="14.5" customHeight="1"/>
    <row r="142" ht="14.5" customHeight="1"/>
    <row r="143" ht="14.5" customHeight="1"/>
    <row r="144" ht="14.5" customHeight="1"/>
    <row r="145" spans="2:2" ht="14.5" customHeight="1"/>
    <row r="146" spans="2:2" ht="14.5" customHeight="1">
      <c r="B146" s="3"/>
    </row>
    <row r="147" spans="2:2" ht="14.5" customHeight="1"/>
    <row r="148" spans="2:2" ht="14.5" customHeight="1"/>
    <row r="149" spans="2:2" ht="14.5" customHeight="1"/>
    <row r="150" spans="2:2" ht="14.5" customHeight="1"/>
    <row r="151" spans="2:2" ht="14.5" customHeight="1"/>
    <row r="152" spans="2:2" ht="14.5" customHeight="1"/>
    <row r="153" spans="2:2" ht="14.5" customHeight="1"/>
    <row r="154" spans="2:2" ht="14.5" customHeight="1"/>
    <row r="155" spans="2:2" ht="14.5" customHeight="1"/>
    <row r="156" spans="2:2" ht="14.5" customHeight="1"/>
    <row r="157" spans="2:2" ht="14.5" customHeight="1"/>
    <row r="158" spans="2:2" ht="14.5" customHeight="1"/>
    <row r="159" spans="2:2" ht="14.5" customHeight="1"/>
  </sheetData>
  <sheetProtection selectLockedCells="1" selectUnlockedCells="1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7FF11-65D7-48D7-9B32-EA4251C34E82}">
  <sheetPr>
    <tabColor theme="8" tint="-0.499984740745262"/>
  </sheetPr>
  <dimension ref="A1:C12"/>
  <sheetViews>
    <sheetView workbookViewId="0">
      <selection activeCell="G7" sqref="G7"/>
    </sheetView>
  </sheetViews>
  <sheetFormatPr defaultRowHeight="14.5"/>
  <cols>
    <col min="1" max="1" width="15.453125" style="123" bestFit="1" customWidth="1"/>
  </cols>
  <sheetData>
    <row r="1" spans="1:3">
      <c r="A1" s="123" t="s">
        <v>78</v>
      </c>
      <c r="C1">
        <v>2021</v>
      </c>
    </row>
    <row r="2" spans="1:3">
      <c r="A2" s="123" t="s">
        <v>79</v>
      </c>
      <c r="C2">
        <v>2022</v>
      </c>
    </row>
    <row r="3" spans="1:3">
      <c r="A3" s="123" t="s">
        <v>80</v>
      </c>
      <c r="C3">
        <v>2023</v>
      </c>
    </row>
    <row r="4" spans="1:3">
      <c r="A4" s="123" t="s">
        <v>81</v>
      </c>
      <c r="C4">
        <v>2024</v>
      </c>
    </row>
    <row r="5" spans="1:3">
      <c r="A5" s="123" t="s">
        <v>82</v>
      </c>
      <c r="C5">
        <v>2025</v>
      </c>
    </row>
    <row r="6" spans="1:3">
      <c r="A6" s="123" t="s">
        <v>83</v>
      </c>
      <c r="C6">
        <v>2026</v>
      </c>
    </row>
    <row r="7" spans="1:3">
      <c r="A7" s="123" t="s">
        <v>84</v>
      </c>
      <c r="C7">
        <v>2027</v>
      </c>
    </row>
    <row r="8" spans="1:3">
      <c r="A8" s="123" t="s">
        <v>85</v>
      </c>
      <c r="C8">
        <v>2028</v>
      </c>
    </row>
    <row r="9" spans="1:3">
      <c r="A9" s="123" t="s">
        <v>86</v>
      </c>
      <c r="C9">
        <v>2029</v>
      </c>
    </row>
    <row r="10" spans="1:3">
      <c r="A10" s="123" t="s">
        <v>87</v>
      </c>
      <c r="C10">
        <v>2030</v>
      </c>
    </row>
    <row r="11" spans="1:3">
      <c r="A11" s="123" t="s">
        <v>88</v>
      </c>
    </row>
    <row r="12" spans="1:3">
      <c r="A12" s="123" t="s">
        <v>89</v>
      </c>
    </row>
  </sheetData>
  <phoneticPr fontId="6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79FA87A3D8904EADCD3BA680900A4C" ma:contentTypeVersion="11" ma:contentTypeDescription="Crie um novo documento." ma:contentTypeScope="" ma:versionID="901820da100fce07c0fc20ce84fa453d">
  <xsd:schema xmlns:xsd="http://www.w3.org/2001/XMLSchema" xmlns:xs="http://www.w3.org/2001/XMLSchema" xmlns:p="http://schemas.microsoft.com/office/2006/metadata/properties" xmlns:ns3="0204dfed-6e98-4015-bf9a-d75d1850e129" xmlns:ns4="8ce76665-c74a-4abe-a251-606bd3042eb3" targetNamespace="http://schemas.microsoft.com/office/2006/metadata/properties" ma:root="true" ma:fieldsID="557fa8d1803b15bd5350b86df66f635f" ns3:_="" ns4:_="">
    <xsd:import namespace="0204dfed-6e98-4015-bf9a-d75d1850e129"/>
    <xsd:import namespace="8ce76665-c74a-4abe-a251-606bd3042eb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04dfed-6e98-4015-bf9a-d75d1850e1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e76665-c74a-4abe-a251-606bd3042eb3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Dica de Compartilhamento" ma:description="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3BDB35E-2B2E-42DD-9AC6-E4E3D06D9C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04dfed-6e98-4015-bf9a-d75d1850e129"/>
    <ds:schemaRef ds:uri="8ce76665-c74a-4abe-a251-606bd3042e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690DB5-6C73-4CA2-BB3C-300546C978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12CB5E-73E4-414E-A68F-33E3D3FBBE4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14</vt:i4>
      </vt:variant>
    </vt:vector>
  </HeadingPairs>
  <TitlesOfParts>
    <vt:vector size="23" baseType="lpstr">
      <vt:lpstr>Menu</vt:lpstr>
      <vt:lpstr>Colab - Previsto</vt:lpstr>
      <vt:lpstr>Colab - Realizado</vt:lpstr>
      <vt:lpstr>Previsto Realizado</vt:lpstr>
      <vt:lpstr>CG</vt:lpstr>
      <vt:lpstr>Holerite</vt:lpstr>
      <vt:lpstr>Dash</vt:lpstr>
      <vt:lpstr>Instruções</vt:lpstr>
      <vt:lpstr>Lista</vt:lpstr>
      <vt:lpstr>anos</vt:lpstr>
      <vt:lpstr>CG!Area_de_impressao</vt:lpstr>
      <vt:lpstr>'Colab - Previsto'!Area_de_impressao</vt:lpstr>
      <vt:lpstr>'Colab - Realizado'!Area_de_impressao</vt:lpstr>
      <vt:lpstr>Dash!Area_de_impressao</vt:lpstr>
      <vt:lpstr>Holerite!Area_de_impressao</vt:lpstr>
      <vt:lpstr>'Colab - Realizado'!colab</vt:lpstr>
      <vt:lpstr>colab</vt:lpstr>
      <vt:lpstr>'Colab - Realizado'!matricula</vt:lpstr>
      <vt:lpstr>matricula</vt:lpstr>
      <vt:lpstr>meses</vt:lpstr>
      <vt:lpstr>CG!Titulos_de_impressao</vt:lpstr>
      <vt:lpstr>'Colab - Previsto'!Titulos_de_impressao</vt:lpstr>
      <vt:lpstr>'Colab - Realizado'!Titulos_de_impressao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Silas Galvino</dc:creator>
  <cp:lastModifiedBy>Viviane Canna Brasil Sousa</cp:lastModifiedBy>
  <cp:lastPrinted>2021-10-25T12:48:20Z</cp:lastPrinted>
  <dcterms:created xsi:type="dcterms:W3CDTF">2020-01-02T17:40:39Z</dcterms:created>
  <dcterms:modified xsi:type="dcterms:W3CDTF">2022-01-13T18:24:47Z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73802975-95e4-4434-bbe4-a8925353e93a</vt:lpwstr>
  </property>
  <property fmtid="{D5CDD505-2E9C-101B-9397-08002B2CF9AE}" pid="3" name="ContentTypeId">
    <vt:lpwstr>0x0101008A79FA87A3D8904EADCD3BA680900A4C</vt:lpwstr>
  </property>
</Properties>
</file>