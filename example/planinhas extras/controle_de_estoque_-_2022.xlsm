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sebraepr-my.sharepoint.com/personal/viviane_brasil_sebraepr_onmicrosoft_com/Documents/Cópia OneDrive 10 07/OneDrive/Planilhas/PLANILHA 2021/44 - PROCESSOS - CONTROLE DE ESTOQUES/"/>
    </mc:Choice>
  </mc:AlternateContent>
  <xr:revisionPtr revIDLastSave="2" documentId="13_ncr:1_{F506BA84-1DCE-479B-90CB-4AD67817571B}" xr6:coauthVersionLast="46" xr6:coauthVersionMax="47" xr10:uidLastSave="{2BE7ACB7-3452-446E-912E-24781906FD88}"/>
  <bookViews>
    <workbookView xWindow="-110" yWindow="-110" windowWidth="19420" windowHeight="10420" tabRatio="0" firstSheet="1" activeTab="1" xr2:uid="{844D8BC7-D79F-44C4-ADF7-F9CDF63929EF}"/>
  </bookViews>
  <sheets>
    <sheet name="Menu" sheetId="9" r:id="rId1"/>
    <sheet name="Clientes" sheetId="2" r:id="rId2"/>
    <sheet name="Produtos" sheetId="3" r:id="rId3"/>
    <sheet name="Vendas" sheetId="4" r:id="rId4"/>
    <sheet name="Relatório" sheetId="11" r:id="rId5"/>
    <sheet name="Instruções" sheetId="10" r:id="rId6"/>
    <sheet name="BDClientes" sheetId="5" r:id="rId7"/>
    <sheet name="BDProdutos" sheetId="6" r:id="rId8"/>
    <sheet name="BDVendas" sheetId="7" r:id="rId9"/>
    <sheet name="BDMovEstoque" sheetId="8" r:id="rId10"/>
    <sheet name="Tab" sheetId="12" r:id="rId11"/>
  </sheets>
  <definedNames>
    <definedName name="_xlnm._FilterDatabase" localSheetId="6" hidden="1">BDClientes!$A$1:$D$1</definedName>
    <definedName name="_xlnm._FilterDatabase" localSheetId="7" hidden="1">BDProdutos!$A$1:$F$1</definedName>
    <definedName name="produtos">#REF!</definedName>
  </definedNames>
  <calcPr calcId="191029"/>
  <pivotCaches>
    <pivotCache cacheId="0" r:id="rId12"/>
    <pivotCache cacheId="1" r:id="rId13"/>
    <pivotCache cacheId="2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" i="6" l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F6" i="6" l="1"/>
  <c r="G6" i="6" s="1"/>
  <c r="F7" i="6"/>
  <c r="G7" i="6" s="1"/>
  <c r="F8" i="6"/>
  <c r="G8" i="6" s="1"/>
  <c r="F9" i="6"/>
  <c r="G9" i="6" s="1"/>
  <c r="F10" i="6"/>
  <c r="G10" i="6" s="1"/>
  <c r="F11" i="6"/>
  <c r="G11" i="6" s="1"/>
  <c r="F12" i="6"/>
  <c r="G12" i="6" s="1"/>
  <c r="F13" i="6"/>
  <c r="G13" i="6" s="1"/>
  <c r="F14" i="6"/>
  <c r="G14" i="6" s="1"/>
  <c r="F15" i="6"/>
  <c r="G15" i="6" s="1"/>
  <c r="F16" i="6"/>
  <c r="G16" i="6" s="1"/>
  <c r="F17" i="6"/>
  <c r="G17" i="6" s="1"/>
  <c r="F18" i="6"/>
  <c r="G18" i="6" s="1"/>
  <c r="F19" i="6"/>
  <c r="G19" i="6" s="1"/>
  <c r="F20" i="6"/>
  <c r="G20" i="6" s="1"/>
  <c r="F21" i="6"/>
  <c r="G21" i="6" s="1"/>
  <c r="F22" i="6"/>
  <c r="G22" i="6" s="1"/>
  <c r="F23" i="6"/>
  <c r="G23" i="6" s="1"/>
  <c r="F24" i="6"/>
  <c r="G24" i="6" s="1"/>
  <c r="F25" i="6"/>
  <c r="G25" i="6" s="1"/>
  <c r="F26" i="6"/>
  <c r="G26" i="6" s="1"/>
  <c r="F27" i="6"/>
  <c r="G27" i="6" s="1"/>
  <c r="F28" i="6"/>
  <c r="G28" i="6" s="1"/>
  <c r="F29" i="6"/>
  <c r="G29" i="6" s="1"/>
  <c r="F30" i="6"/>
  <c r="G30" i="6" s="1"/>
  <c r="F31" i="6"/>
  <c r="G31" i="6" s="1"/>
  <c r="F32" i="6"/>
  <c r="G32" i="6" s="1"/>
  <c r="F33" i="6"/>
  <c r="G33" i="6" s="1"/>
  <c r="F34" i="6"/>
  <c r="G34" i="6" s="1"/>
  <c r="F35" i="6"/>
  <c r="G35" i="6" s="1"/>
  <c r="F36" i="6"/>
  <c r="G36" i="6" s="1"/>
  <c r="F37" i="6"/>
  <c r="G37" i="6" s="1"/>
  <c r="F38" i="6"/>
  <c r="G38" i="6" s="1"/>
  <c r="F39" i="6"/>
  <c r="G39" i="6" s="1"/>
  <c r="F40" i="6"/>
  <c r="G40" i="6" s="1"/>
  <c r="F41" i="6"/>
  <c r="G41" i="6" s="1"/>
  <c r="F42" i="6"/>
  <c r="G42" i="6" s="1"/>
  <c r="F43" i="6"/>
  <c r="G43" i="6" s="1"/>
  <c r="F44" i="6"/>
  <c r="G44" i="6" s="1"/>
  <c r="F45" i="6"/>
  <c r="G45" i="6" s="1"/>
  <c r="F46" i="6"/>
  <c r="G46" i="6" s="1"/>
  <c r="F47" i="6"/>
  <c r="G47" i="6" s="1"/>
  <c r="F48" i="6"/>
  <c r="G48" i="6" s="1"/>
  <c r="F49" i="6"/>
  <c r="G49" i="6" s="1"/>
  <c r="F50" i="6"/>
  <c r="G50" i="6" s="1"/>
  <c r="F51" i="6"/>
  <c r="G51" i="6" s="1"/>
  <c r="F52" i="6"/>
  <c r="G52" i="6" s="1"/>
  <c r="F53" i="6"/>
  <c r="G53" i="6" s="1"/>
  <c r="F54" i="6"/>
  <c r="G54" i="6" s="1"/>
  <c r="F55" i="6"/>
  <c r="G55" i="6" s="1"/>
  <c r="F56" i="6"/>
  <c r="G56" i="6" s="1"/>
  <c r="F57" i="6"/>
  <c r="G57" i="6" s="1"/>
  <c r="F58" i="6"/>
  <c r="G58" i="6" s="1"/>
  <c r="F59" i="6"/>
  <c r="G59" i="6" s="1"/>
  <c r="F60" i="6"/>
  <c r="G60" i="6" s="1"/>
  <c r="F61" i="6"/>
  <c r="G61" i="6" s="1"/>
  <c r="F62" i="6"/>
  <c r="G62" i="6" s="1"/>
  <c r="F63" i="6"/>
  <c r="G63" i="6" s="1"/>
  <c r="F64" i="6"/>
  <c r="G64" i="6" s="1"/>
  <c r="F65" i="6"/>
  <c r="G65" i="6" s="1"/>
  <c r="F66" i="6"/>
  <c r="G66" i="6" s="1"/>
  <c r="F67" i="6"/>
  <c r="G67" i="6" s="1"/>
  <c r="F68" i="6"/>
  <c r="G68" i="6" s="1"/>
  <c r="F69" i="6"/>
  <c r="G69" i="6" s="1"/>
  <c r="F70" i="6"/>
  <c r="G70" i="6" s="1"/>
  <c r="F71" i="6"/>
  <c r="G71" i="6" s="1"/>
  <c r="F72" i="6"/>
  <c r="G72" i="6" s="1"/>
  <c r="F73" i="6"/>
  <c r="G73" i="6" s="1"/>
  <c r="F74" i="6"/>
  <c r="G74" i="6" s="1"/>
  <c r="F75" i="6"/>
  <c r="G75" i="6" s="1"/>
  <c r="F76" i="6"/>
  <c r="G76" i="6" s="1"/>
  <c r="F77" i="6"/>
  <c r="G77" i="6" s="1"/>
  <c r="F78" i="6"/>
  <c r="G78" i="6" s="1"/>
  <c r="F79" i="6"/>
  <c r="G79" i="6" s="1"/>
  <c r="F80" i="6"/>
  <c r="G80" i="6" s="1"/>
  <c r="F81" i="6"/>
  <c r="G81" i="6" s="1"/>
  <c r="F82" i="6"/>
  <c r="G82" i="6" s="1"/>
  <c r="F83" i="6"/>
  <c r="G83" i="6" s="1"/>
  <c r="F84" i="6"/>
  <c r="G84" i="6" s="1"/>
  <c r="F85" i="6"/>
  <c r="G85" i="6" s="1"/>
  <c r="F86" i="6"/>
  <c r="G86" i="6" s="1"/>
  <c r="F87" i="6"/>
  <c r="G87" i="6" s="1"/>
  <c r="F88" i="6"/>
  <c r="G88" i="6" s="1"/>
  <c r="F89" i="6"/>
  <c r="G89" i="6" s="1"/>
  <c r="F90" i="6"/>
  <c r="G90" i="6" s="1"/>
  <c r="F91" i="6"/>
  <c r="G91" i="6" s="1"/>
  <c r="F92" i="6"/>
  <c r="G92" i="6" s="1"/>
  <c r="F93" i="6"/>
  <c r="G93" i="6" s="1"/>
  <c r="F94" i="6"/>
  <c r="G94" i="6" s="1"/>
  <c r="F95" i="6"/>
  <c r="G95" i="6" s="1"/>
  <c r="F96" i="6"/>
  <c r="G96" i="6" s="1"/>
  <c r="F97" i="6"/>
  <c r="G97" i="6" s="1"/>
  <c r="F98" i="6"/>
  <c r="G98" i="6" s="1"/>
  <c r="F99" i="6"/>
  <c r="G99" i="6" s="1"/>
  <c r="F100" i="6"/>
  <c r="G100" i="6" s="1"/>
  <c r="F101" i="6"/>
  <c r="G101" i="6" s="1"/>
  <c r="F102" i="6"/>
  <c r="G102" i="6" s="1"/>
  <c r="F103" i="6"/>
  <c r="G103" i="6" s="1"/>
  <c r="F104" i="6"/>
  <c r="G104" i="6" s="1"/>
  <c r="F105" i="6"/>
  <c r="G105" i="6" s="1"/>
  <c r="F106" i="6"/>
  <c r="G106" i="6" s="1"/>
  <c r="F107" i="6"/>
  <c r="G107" i="6" s="1"/>
  <c r="F108" i="6"/>
  <c r="G108" i="6" s="1"/>
  <c r="F109" i="6"/>
  <c r="G109" i="6" s="1"/>
  <c r="F110" i="6"/>
  <c r="G110" i="6" s="1"/>
  <c r="F111" i="6"/>
  <c r="G111" i="6" s="1"/>
  <c r="F112" i="6"/>
  <c r="G112" i="6" s="1"/>
  <c r="F113" i="6"/>
  <c r="G113" i="6" s="1"/>
  <c r="F114" i="6"/>
  <c r="G114" i="6" s="1"/>
  <c r="F115" i="6"/>
  <c r="G115" i="6" s="1"/>
  <c r="F116" i="6"/>
  <c r="G116" i="6" s="1"/>
  <c r="F117" i="6"/>
  <c r="G117" i="6" s="1"/>
  <c r="F118" i="6"/>
  <c r="G118" i="6" s="1"/>
  <c r="F119" i="6"/>
  <c r="G119" i="6" s="1"/>
  <c r="F120" i="6"/>
  <c r="G120" i="6" s="1"/>
  <c r="F121" i="6"/>
  <c r="G121" i="6" s="1"/>
  <c r="F122" i="6"/>
  <c r="G122" i="6" s="1"/>
  <c r="F123" i="6"/>
  <c r="G123" i="6" s="1"/>
  <c r="F124" i="6"/>
  <c r="G124" i="6" s="1"/>
  <c r="F125" i="6"/>
  <c r="G125" i="6" s="1"/>
  <c r="F126" i="6"/>
  <c r="G126" i="6" s="1"/>
  <c r="F127" i="6"/>
  <c r="G127" i="6" s="1"/>
  <c r="F128" i="6"/>
  <c r="G128" i="6" s="1"/>
  <c r="F129" i="6"/>
  <c r="G129" i="6" s="1"/>
  <c r="F130" i="6"/>
  <c r="G130" i="6" s="1"/>
  <c r="F131" i="6"/>
  <c r="G131" i="6" s="1"/>
  <c r="F132" i="6"/>
  <c r="G132" i="6" s="1"/>
  <c r="F133" i="6"/>
  <c r="G133" i="6" s="1"/>
  <c r="F134" i="6"/>
  <c r="G134" i="6" s="1"/>
  <c r="F135" i="6"/>
  <c r="G135" i="6" s="1"/>
  <c r="F136" i="6"/>
  <c r="G136" i="6" s="1"/>
  <c r="F137" i="6"/>
  <c r="G137" i="6" s="1"/>
  <c r="F138" i="6"/>
  <c r="G138" i="6" s="1"/>
  <c r="F139" i="6"/>
  <c r="G139" i="6" s="1"/>
  <c r="F140" i="6"/>
  <c r="G140" i="6" s="1"/>
  <c r="F141" i="6"/>
  <c r="G141" i="6" s="1"/>
  <c r="F142" i="6"/>
  <c r="G142" i="6" s="1"/>
  <c r="F143" i="6"/>
  <c r="G143" i="6" s="1"/>
  <c r="F144" i="6"/>
  <c r="G144" i="6" s="1"/>
  <c r="F145" i="6"/>
  <c r="G145" i="6" s="1"/>
  <c r="F146" i="6"/>
  <c r="G146" i="6" s="1"/>
  <c r="F147" i="6"/>
  <c r="G147" i="6" s="1"/>
  <c r="F148" i="6"/>
  <c r="G148" i="6" s="1"/>
  <c r="F149" i="6"/>
  <c r="G149" i="6" s="1"/>
  <c r="F150" i="6"/>
  <c r="G150" i="6" s="1"/>
  <c r="F151" i="6"/>
  <c r="G151" i="6" s="1"/>
  <c r="F152" i="6"/>
  <c r="G152" i="6" s="1"/>
  <c r="F153" i="6"/>
  <c r="G153" i="6" s="1"/>
  <c r="F154" i="6"/>
  <c r="G154" i="6" s="1"/>
  <c r="F155" i="6"/>
  <c r="G155" i="6" s="1"/>
  <c r="F156" i="6"/>
  <c r="G156" i="6" s="1"/>
  <c r="F157" i="6"/>
  <c r="G157" i="6" s="1"/>
  <c r="F158" i="6"/>
  <c r="G158" i="6" s="1"/>
  <c r="F159" i="6"/>
  <c r="G159" i="6" s="1"/>
  <c r="F160" i="6"/>
  <c r="G160" i="6" s="1"/>
  <c r="F161" i="6"/>
  <c r="G161" i="6" s="1"/>
  <c r="F162" i="6"/>
  <c r="G162" i="6" s="1"/>
  <c r="F163" i="6"/>
  <c r="G163" i="6" s="1"/>
  <c r="F164" i="6"/>
  <c r="G164" i="6" s="1"/>
  <c r="F165" i="6"/>
  <c r="G165" i="6" s="1"/>
  <c r="F166" i="6"/>
  <c r="G166" i="6" s="1"/>
  <c r="F167" i="6"/>
  <c r="G167" i="6" s="1"/>
  <c r="F168" i="6"/>
  <c r="G168" i="6" s="1"/>
  <c r="F169" i="6"/>
  <c r="G169" i="6" s="1"/>
  <c r="F170" i="6"/>
  <c r="G170" i="6" s="1"/>
  <c r="F171" i="6"/>
  <c r="G171" i="6" s="1"/>
  <c r="F172" i="6"/>
  <c r="G172" i="6" s="1"/>
  <c r="F173" i="6"/>
  <c r="G173" i="6" s="1"/>
  <c r="F174" i="6"/>
  <c r="G174" i="6" s="1"/>
  <c r="F175" i="6"/>
  <c r="G175" i="6" s="1"/>
  <c r="F176" i="6"/>
  <c r="G176" i="6" s="1"/>
  <c r="F177" i="6"/>
  <c r="G177" i="6" s="1"/>
  <c r="F178" i="6"/>
  <c r="G178" i="6" s="1"/>
  <c r="F179" i="6"/>
  <c r="G179" i="6" s="1"/>
  <c r="F180" i="6"/>
  <c r="G180" i="6" s="1"/>
  <c r="F181" i="6"/>
  <c r="G181" i="6" s="1"/>
  <c r="F182" i="6"/>
  <c r="G182" i="6" s="1"/>
  <c r="F183" i="6"/>
  <c r="G183" i="6" s="1"/>
  <c r="F184" i="6"/>
  <c r="G184" i="6" s="1"/>
  <c r="F185" i="6"/>
  <c r="G185" i="6" s="1"/>
  <c r="F186" i="6"/>
  <c r="G186" i="6" s="1"/>
  <c r="F187" i="6"/>
  <c r="G187" i="6" s="1"/>
  <c r="F188" i="6"/>
  <c r="G188" i="6" s="1"/>
  <c r="F189" i="6"/>
  <c r="G189" i="6" s="1"/>
  <c r="F190" i="6"/>
  <c r="G190" i="6" s="1"/>
  <c r="F191" i="6"/>
  <c r="G191" i="6" s="1"/>
  <c r="F192" i="6"/>
  <c r="G192" i="6" s="1"/>
  <c r="F193" i="6"/>
  <c r="G193" i="6" s="1"/>
  <c r="F194" i="6"/>
  <c r="G194" i="6" s="1"/>
  <c r="F195" i="6"/>
  <c r="G195" i="6" s="1"/>
  <c r="F196" i="6"/>
  <c r="G196" i="6" s="1"/>
  <c r="F197" i="6"/>
  <c r="G197" i="6" s="1"/>
  <c r="F198" i="6"/>
  <c r="G198" i="6" s="1"/>
  <c r="F199" i="6"/>
  <c r="G199" i="6" s="1"/>
  <c r="F200" i="6"/>
  <c r="G200" i="6" s="1"/>
  <c r="F201" i="6"/>
  <c r="G201" i="6" s="1"/>
  <c r="F202" i="6"/>
  <c r="G202" i="6" s="1"/>
  <c r="F203" i="6"/>
  <c r="G203" i="6" s="1"/>
  <c r="F204" i="6"/>
  <c r="G204" i="6" s="1"/>
  <c r="F205" i="6"/>
  <c r="G205" i="6" s="1"/>
  <c r="F206" i="6"/>
  <c r="G206" i="6" s="1"/>
  <c r="F207" i="6"/>
  <c r="G207" i="6" s="1"/>
  <c r="F208" i="6"/>
  <c r="G208" i="6" s="1"/>
  <c r="F209" i="6"/>
  <c r="G209" i="6" s="1"/>
  <c r="F210" i="6"/>
  <c r="G210" i="6" s="1"/>
  <c r="F211" i="6"/>
  <c r="G211" i="6" s="1"/>
  <c r="F212" i="6"/>
  <c r="G212" i="6" s="1"/>
  <c r="F213" i="6"/>
  <c r="G213" i="6" s="1"/>
  <c r="F214" i="6"/>
  <c r="G214" i="6" s="1"/>
  <c r="F215" i="6"/>
  <c r="G215" i="6" s="1"/>
  <c r="F216" i="6"/>
  <c r="G216" i="6" s="1"/>
  <c r="F217" i="6"/>
  <c r="G217" i="6" s="1"/>
  <c r="F218" i="6"/>
  <c r="G218" i="6" s="1"/>
  <c r="F219" i="6"/>
  <c r="G219" i="6" s="1"/>
  <c r="F220" i="6"/>
  <c r="G220" i="6" s="1"/>
  <c r="F221" i="6"/>
  <c r="G221" i="6" s="1"/>
  <c r="F222" i="6"/>
  <c r="G222" i="6" s="1"/>
  <c r="F223" i="6"/>
  <c r="G223" i="6" s="1"/>
  <c r="F224" i="6"/>
  <c r="G224" i="6" s="1"/>
  <c r="F225" i="6"/>
  <c r="G225" i="6" s="1"/>
  <c r="F226" i="6"/>
  <c r="G226" i="6" s="1"/>
  <c r="F227" i="6"/>
  <c r="G227" i="6" s="1"/>
  <c r="F228" i="6"/>
  <c r="G228" i="6" s="1"/>
  <c r="F229" i="6"/>
  <c r="G229" i="6" s="1"/>
  <c r="F230" i="6"/>
  <c r="G230" i="6" s="1"/>
  <c r="F231" i="6"/>
  <c r="G231" i="6" s="1"/>
  <c r="F232" i="6"/>
  <c r="G232" i="6" s="1"/>
  <c r="F233" i="6"/>
  <c r="G233" i="6" s="1"/>
  <c r="F234" i="6"/>
  <c r="G234" i="6" s="1"/>
  <c r="F235" i="6"/>
  <c r="G235" i="6" s="1"/>
  <c r="F236" i="6"/>
  <c r="G236" i="6" s="1"/>
  <c r="F237" i="6"/>
  <c r="G237" i="6" s="1"/>
  <c r="F238" i="6"/>
  <c r="G238" i="6" s="1"/>
  <c r="F239" i="6"/>
  <c r="G239" i="6" s="1"/>
  <c r="F240" i="6"/>
  <c r="G240" i="6" s="1"/>
  <c r="F241" i="6"/>
  <c r="G241" i="6" s="1"/>
  <c r="F242" i="6"/>
  <c r="G242" i="6" s="1"/>
  <c r="F243" i="6"/>
  <c r="G243" i="6" s="1"/>
  <c r="F244" i="6"/>
  <c r="G244" i="6" s="1"/>
  <c r="F245" i="6"/>
  <c r="G245" i="6" s="1"/>
  <c r="F246" i="6"/>
  <c r="G246" i="6" s="1"/>
  <c r="F247" i="6"/>
  <c r="G247" i="6" s="1"/>
  <c r="F248" i="6"/>
  <c r="G248" i="6" s="1"/>
  <c r="F249" i="6"/>
  <c r="G249" i="6" s="1"/>
  <c r="F250" i="6"/>
  <c r="G250" i="6" s="1"/>
  <c r="F251" i="6"/>
  <c r="G251" i="6" s="1"/>
  <c r="F252" i="6"/>
  <c r="G252" i="6" s="1"/>
  <c r="F253" i="6"/>
  <c r="G253" i="6" s="1"/>
  <c r="F254" i="6"/>
  <c r="G254" i="6" s="1"/>
  <c r="F255" i="6"/>
  <c r="G255" i="6" s="1"/>
  <c r="F256" i="6"/>
  <c r="G256" i="6" s="1"/>
  <c r="F257" i="6"/>
  <c r="G257" i="6" s="1"/>
  <c r="F258" i="6"/>
  <c r="G258" i="6" s="1"/>
  <c r="F259" i="6"/>
  <c r="G259" i="6" s="1"/>
  <c r="F260" i="6"/>
  <c r="G260" i="6" s="1"/>
  <c r="F261" i="6"/>
  <c r="G261" i="6" s="1"/>
  <c r="F262" i="6"/>
  <c r="G262" i="6" s="1"/>
  <c r="F263" i="6"/>
  <c r="G263" i="6" s="1"/>
  <c r="F264" i="6"/>
  <c r="G264" i="6" s="1"/>
  <c r="F265" i="6"/>
  <c r="G265" i="6" s="1"/>
  <c r="F266" i="6"/>
  <c r="G266" i="6" s="1"/>
  <c r="F267" i="6"/>
  <c r="G267" i="6" s="1"/>
  <c r="F268" i="6"/>
  <c r="G268" i="6" s="1"/>
  <c r="F269" i="6"/>
  <c r="G269" i="6" s="1"/>
  <c r="F270" i="6"/>
  <c r="G270" i="6" s="1"/>
  <c r="F271" i="6"/>
  <c r="G271" i="6" s="1"/>
  <c r="F272" i="6"/>
  <c r="G272" i="6" s="1"/>
  <c r="F273" i="6"/>
  <c r="G273" i="6" s="1"/>
  <c r="F274" i="6"/>
  <c r="G274" i="6" s="1"/>
  <c r="F275" i="6"/>
  <c r="G275" i="6" s="1"/>
  <c r="F276" i="6"/>
  <c r="G276" i="6" s="1"/>
  <c r="F277" i="6"/>
  <c r="G277" i="6" s="1"/>
  <c r="F278" i="6"/>
  <c r="G278" i="6" s="1"/>
  <c r="F279" i="6"/>
  <c r="G279" i="6" s="1"/>
  <c r="F280" i="6"/>
  <c r="G280" i="6" s="1"/>
  <c r="F281" i="6"/>
  <c r="G281" i="6" s="1"/>
  <c r="F282" i="6"/>
  <c r="G282" i="6" s="1"/>
  <c r="F283" i="6"/>
  <c r="G283" i="6" s="1"/>
  <c r="F284" i="6"/>
  <c r="G284" i="6" s="1"/>
  <c r="F285" i="6"/>
  <c r="G285" i="6" s="1"/>
  <c r="F286" i="6"/>
  <c r="G286" i="6" s="1"/>
  <c r="F287" i="6"/>
  <c r="G287" i="6" s="1"/>
  <c r="F288" i="6"/>
  <c r="G288" i="6" s="1"/>
  <c r="F289" i="6"/>
  <c r="G289" i="6" s="1"/>
  <c r="F290" i="6"/>
  <c r="G290" i="6" s="1"/>
  <c r="F291" i="6"/>
  <c r="G291" i="6" s="1"/>
  <c r="F292" i="6"/>
  <c r="G292" i="6" s="1"/>
  <c r="F293" i="6"/>
  <c r="G293" i="6" s="1"/>
  <c r="F294" i="6"/>
  <c r="G294" i="6" s="1"/>
  <c r="F295" i="6"/>
  <c r="G295" i="6" s="1"/>
  <c r="F296" i="6"/>
  <c r="G296" i="6" s="1"/>
  <c r="F297" i="6"/>
  <c r="G297" i="6" s="1"/>
  <c r="F298" i="6"/>
  <c r="G298" i="6" s="1"/>
  <c r="F299" i="6"/>
  <c r="G299" i="6" s="1"/>
  <c r="F300" i="6"/>
  <c r="G300" i="6" s="1"/>
  <c r="F301" i="6"/>
  <c r="G301" i="6" s="1"/>
  <c r="F302" i="6"/>
  <c r="G302" i="6" s="1"/>
  <c r="F303" i="6"/>
  <c r="G303" i="6" s="1"/>
  <c r="F304" i="6"/>
  <c r="G304" i="6" s="1"/>
  <c r="F305" i="6"/>
  <c r="G305" i="6" s="1"/>
  <c r="F306" i="6"/>
  <c r="G306" i="6" s="1"/>
  <c r="F307" i="6"/>
  <c r="G307" i="6" s="1"/>
  <c r="F308" i="6"/>
  <c r="G308" i="6" s="1"/>
  <c r="F309" i="6"/>
  <c r="G309" i="6" s="1"/>
  <c r="F310" i="6"/>
  <c r="G310" i="6" s="1"/>
  <c r="F311" i="6"/>
  <c r="G311" i="6" s="1"/>
  <c r="F312" i="6"/>
  <c r="G312" i="6" s="1"/>
  <c r="F313" i="6"/>
  <c r="G313" i="6" s="1"/>
  <c r="F314" i="6"/>
  <c r="G314" i="6" s="1"/>
  <c r="F315" i="6"/>
  <c r="G315" i="6" s="1"/>
  <c r="F316" i="6"/>
  <c r="G316" i="6" s="1"/>
  <c r="F317" i="6"/>
  <c r="G317" i="6" s="1"/>
  <c r="F318" i="6"/>
  <c r="G318" i="6" s="1"/>
  <c r="F319" i="6"/>
  <c r="G319" i="6" s="1"/>
  <c r="F320" i="6"/>
  <c r="G320" i="6" s="1"/>
  <c r="F321" i="6"/>
  <c r="G321" i="6" s="1"/>
  <c r="F322" i="6"/>
  <c r="G322" i="6" s="1"/>
  <c r="F323" i="6"/>
  <c r="G323" i="6" s="1"/>
  <c r="F324" i="6"/>
  <c r="G324" i="6" s="1"/>
  <c r="F325" i="6"/>
  <c r="G325" i="6" s="1"/>
  <c r="F326" i="6"/>
  <c r="G326" i="6" s="1"/>
  <c r="F327" i="6"/>
  <c r="G327" i="6" s="1"/>
  <c r="F328" i="6"/>
  <c r="G328" i="6" s="1"/>
  <c r="F329" i="6"/>
  <c r="G329" i="6" s="1"/>
  <c r="F330" i="6"/>
  <c r="G330" i="6" s="1"/>
  <c r="F331" i="6"/>
  <c r="G331" i="6" s="1"/>
  <c r="F332" i="6"/>
  <c r="G332" i="6" s="1"/>
  <c r="F333" i="6"/>
  <c r="G333" i="6" s="1"/>
  <c r="F334" i="6"/>
  <c r="G334" i="6" s="1"/>
  <c r="F335" i="6"/>
  <c r="G335" i="6" s="1"/>
  <c r="F336" i="6"/>
  <c r="G336" i="6" s="1"/>
  <c r="F337" i="6"/>
  <c r="G337" i="6" s="1"/>
  <c r="F338" i="6"/>
  <c r="G338" i="6" s="1"/>
  <c r="F339" i="6"/>
  <c r="G339" i="6" s="1"/>
  <c r="F340" i="6"/>
  <c r="G340" i="6" s="1"/>
  <c r="F341" i="6"/>
  <c r="G341" i="6" s="1"/>
  <c r="F342" i="6"/>
  <c r="G342" i="6" s="1"/>
  <c r="F343" i="6"/>
  <c r="G343" i="6" s="1"/>
  <c r="F344" i="6"/>
  <c r="G344" i="6" s="1"/>
  <c r="F345" i="6"/>
  <c r="G345" i="6" s="1"/>
  <c r="F346" i="6"/>
  <c r="G346" i="6" s="1"/>
  <c r="F347" i="6"/>
  <c r="G347" i="6" s="1"/>
  <c r="F348" i="6"/>
  <c r="G348" i="6" s="1"/>
  <c r="F349" i="6"/>
  <c r="G349" i="6" s="1"/>
  <c r="F350" i="6"/>
  <c r="G350" i="6" s="1"/>
  <c r="F351" i="6"/>
  <c r="G351" i="6" s="1"/>
  <c r="F352" i="6"/>
  <c r="G352" i="6" s="1"/>
  <c r="F353" i="6"/>
  <c r="G353" i="6" s="1"/>
  <c r="F354" i="6"/>
  <c r="G354" i="6" s="1"/>
  <c r="F355" i="6"/>
  <c r="G355" i="6" s="1"/>
  <c r="F356" i="6"/>
  <c r="G356" i="6" s="1"/>
  <c r="F357" i="6"/>
  <c r="G357" i="6" s="1"/>
  <c r="F358" i="6"/>
  <c r="G358" i="6" s="1"/>
  <c r="F359" i="6"/>
  <c r="G359" i="6" s="1"/>
  <c r="F360" i="6"/>
  <c r="G360" i="6" s="1"/>
  <c r="F361" i="6"/>
  <c r="G361" i="6" s="1"/>
  <c r="F362" i="6"/>
  <c r="G362" i="6" s="1"/>
  <c r="F363" i="6"/>
  <c r="G363" i="6" s="1"/>
  <c r="F364" i="6"/>
  <c r="G364" i="6" s="1"/>
  <c r="F365" i="6"/>
  <c r="G365" i="6" s="1"/>
  <c r="F366" i="6"/>
  <c r="G366" i="6" s="1"/>
  <c r="F367" i="6"/>
  <c r="G367" i="6" s="1"/>
  <c r="F368" i="6"/>
  <c r="G368" i="6" s="1"/>
  <c r="F369" i="6"/>
  <c r="G369" i="6" s="1"/>
  <c r="F370" i="6"/>
  <c r="G370" i="6" s="1"/>
  <c r="F371" i="6"/>
  <c r="G371" i="6" s="1"/>
  <c r="F372" i="6"/>
  <c r="G372" i="6" s="1"/>
  <c r="F373" i="6"/>
  <c r="G373" i="6" s="1"/>
  <c r="F374" i="6"/>
  <c r="G374" i="6" s="1"/>
  <c r="F375" i="6"/>
  <c r="G375" i="6" s="1"/>
  <c r="F376" i="6"/>
  <c r="G376" i="6" s="1"/>
  <c r="F377" i="6"/>
  <c r="G377" i="6" s="1"/>
  <c r="F378" i="6"/>
  <c r="G378" i="6" s="1"/>
  <c r="F379" i="6"/>
  <c r="G379" i="6" s="1"/>
  <c r="F380" i="6"/>
  <c r="G380" i="6" s="1"/>
  <c r="F381" i="6"/>
  <c r="G381" i="6" s="1"/>
  <c r="F382" i="6"/>
  <c r="G382" i="6" s="1"/>
  <c r="F383" i="6"/>
  <c r="G383" i="6" s="1"/>
  <c r="F384" i="6"/>
  <c r="G384" i="6" s="1"/>
  <c r="F385" i="6"/>
  <c r="G385" i="6" s="1"/>
  <c r="F386" i="6"/>
  <c r="G386" i="6" s="1"/>
  <c r="F387" i="6"/>
  <c r="G387" i="6" s="1"/>
  <c r="F388" i="6"/>
  <c r="G388" i="6" s="1"/>
  <c r="F389" i="6"/>
  <c r="G389" i="6" s="1"/>
  <c r="F390" i="6"/>
  <c r="G390" i="6" s="1"/>
  <c r="F391" i="6"/>
  <c r="G391" i="6" s="1"/>
  <c r="F392" i="6"/>
  <c r="G392" i="6" s="1"/>
  <c r="F393" i="6"/>
  <c r="G393" i="6" s="1"/>
  <c r="F394" i="6"/>
  <c r="G394" i="6" s="1"/>
  <c r="F395" i="6"/>
  <c r="G395" i="6" s="1"/>
  <c r="F396" i="6"/>
  <c r="G396" i="6" s="1"/>
  <c r="F397" i="6"/>
  <c r="G397" i="6" s="1"/>
  <c r="F398" i="6"/>
  <c r="G398" i="6" s="1"/>
  <c r="F399" i="6"/>
  <c r="G399" i="6" s="1"/>
  <c r="F400" i="6"/>
  <c r="G400" i="6" s="1"/>
  <c r="F401" i="6"/>
  <c r="G401" i="6" s="1"/>
  <c r="F402" i="6"/>
  <c r="G402" i="6" s="1"/>
  <c r="F403" i="6"/>
  <c r="G403" i="6" s="1"/>
  <c r="F404" i="6"/>
  <c r="G404" i="6" s="1"/>
  <c r="F405" i="6"/>
  <c r="G405" i="6" s="1"/>
  <c r="F406" i="6"/>
  <c r="G406" i="6" s="1"/>
  <c r="F407" i="6"/>
  <c r="G407" i="6" s="1"/>
  <c r="F408" i="6"/>
  <c r="G408" i="6" s="1"/>
  <c r="F409" i="6"/>
  <c r="G409" i="6" s="1"/>
  <c r="F410" i="6"/>
  <c r="G410" i="6" s="1"/>
  <c r="F411" i="6"/>
  <c r="G411" i="6" s="1"/>
  <c r="F412" i="6"/>
  <c r="G412" i="6" s="1"/>
  <c r="F413" i="6"/>
  <c r="G413" i="6" s="1"/>
  <c r="F414" i="6"/>
  <c r="G414" i="6" s="1"/>
  <c r="F415" i="6"/>
  <c r="G415" i="6" s="1"/>
  <c r="F416" i="6"/>
  <c r="G416" i="6" s="1"/>
  <c r="F417" i="6"/>
  <c r="G417" i="6" s="1"/>
  <c r="F418" i="6"/>
  <c r="G418" i="6" s="1"/>
  <c r="F419" i="6"/>
  <c r="G419" i="6" s="1"/>
  <c r="F420" i="6"/>
  <c r="G420" i="6" s="1"/>
  <c r="F421" i="6"/>
  <c r="G421" i="6" s="1"/>
  <c r="F422" i="6"/>
  <c r="G422" i="6" s="1"/>
  <c r="F423" i="6"/>
  <c r="G423" i="6" s="1"/>
  <c r="F424" i="6"/>
  <c r="G424" i="6" s="1"/>
  <c r="F425" i="6"/>
  <c r="G425" i="6" s="1"/>
  <c r="F426" i="6"/>
  <c r="G426" i="6" s="1"/>
  <c r="F427" i="6"/>
  <c r="G427" i="6" s="1"/>
  <c r="F428" i="6"/>
  <c r="G428" i="6" s="1"/>
  <c r="F429" i="6"/>
  <c r="G429" i="6" s="1"/>
  <c r="F430" i="6"/>
  <c r="G430" i="6" s="1"/>
  <c r="F431" i="6"/>
  <c r="G431" i="6" s="1"/>
  <c r="F432" i="6"/>
  <c r="G432" i="6" s="1"/>
  <c r="F433" i="6"/>
  <c r="G433" i="6" s="1"/>
  <c r="F434" i="6"/>
  <c r="G434" i="6" s="1"/>
  <c r="F435" i="6"/>
  <c r="G435" i="6" s="1"/>
  <c r="F436" i="6"/>
  <c r="G436" i="6" s="1"/>
  <c r="F437" i="6"/>
  <c r="G437" i="6" s="1"/>
  <c r="F438" i="6"/>
  <c r="G438" i="6" s="1"/>
  <c r="F439" i="6"/>
  <c r="G439" i="6" s="1"/>
  <c r="F440" i="6"/>
  <c r="G440" i="6" s="1"/>
  <c r="F441" i="6"/>
  <c r="G441" i="6" s="1"/>
  <c r="F442" i="6"/>
  <c r="G442" i="6" s="1"/>
  <c r="F443" i="6"/>
  <c r="G443" i="6" s="1"/>
  <c r="F444" i="6"/>
  <c r="G444" i="6" s="1"/>
  <c r="F445" i="6"/>
  <c r="G445" i="6" s="1"/>
  <c r="F446" i="6"/>
  <c r="G446" i="6" s="1"/>
  <c r="F447" i="6"/>
  <c r="G447" i="6" s="1"/>
  <c r="F448" i="6"/>
  <c r="G448" i="6" s="1"/>
  <c r="F449" i="6"/>
  <c r="G449" i="6" s="1"/>
  <c r="F450" i="6"/>
  <c r="G450" i="6" s="1"/>
  <c r="F451" i="6"/>
  <c r="G451" i="6" s="1"/>
  <c r="F452" i="6"/>
  <c r="G452" i="6" s="1"/>
  <c r="F453" i="6"/>
  <c r="G453" i="6" s="1"/>
  <c r="F454" i="6"/>
  <c r="G454" i="6" s="1"/>
  <c r="F455" i="6"/>
  <c r="G455" i="6" s="1"/>
  <c r="F456" i="6"/>
  <c r="G456" i="6" s="1"/>
  <c r="F457" i="6"/>
  <c r="G457" i="6" s="1"/>
  <c r="F458" i="6"/>
  <c r="G458" i="6" s="1"/>
  <c r="F459" i="6"/>
  <c r="G459" i="6" s="1"/>
  <c r="F460" i="6"/>
  <c r="G460" i="6" s="1"/>
  <c r="F461" i="6"/>
  <c r="G461" i="6" s="1"/>
  <c r="F462" i="6"/>
  <c r="G462" i="6" s="1"/>
  <c r="F463" i="6"/>
  <c r="G463" i="6" s="1"/>
  <c r="F464" i="6"/>
  <c r="G464" i="6" s="1"/>
  <c r="F465" i="6"/>
  <c r="G465" i="6" s="1"/>
  <c r="F466" i="6"/>
  <c r="G466" i="6" s="1"/>
  <c r="F467" i="6"/>
  <c r="G467" i="6" s="1"/>
  <c r="F468" i="6"/>
  <c r="G468" i="6" s="1"/>
  <c r="F469" i="6"/>
  <c r="G469" i="6" s="1"/>
  <c r="F470" i="6"/>
  <c r="G470" i="6" s="1"/>
  <c r="F471" i="6"/>
  <c r="G471" i="6" s="1"/>
  <c r="F472" i="6"/>
  <c r="G472" i="6" s="1"/>
  <c r="F473" i="6"/>
  <c r="G473" i="6" s="1"/>
  <c r="F474" i="6"/>
  <c r="G474" i="6" s="1"/>
  <c r="F475" i="6"/>
  <c r="G475" i="6" s="1"/>
  <c r="F476" i="6"/>
  <c r="G476" i="6" s="1"/>
  <c r="F477" i="6"/>
  <c r="G477" i="6" s="1"/>
  <c r="F478" i="6"/>
  <c r="G478" i="6" s="1"/>
  <c r="F479" i="6"/>
  <c r="G479" i="6" s="1"/>
  <c r="F480" i="6"/>
  <c r="G480" i="6" s="1"/>
  <c r="F481" i="6"/>
  <c r="G481" i="6" s="1"/>
  <c r="F482" i="6"/>
  <c r="G482" i="6" s="1"/>
  <c r="F483" i="6"/>
  <c r="G483" i="6" s="1"/>
  <c r="F484" i="6"/>
  <c r="G484" i="6" s="1"/>
  <c r="F485" i="6"/>
  <c r="G485" i="6" s="1"/>
  <c r="F486" i="6"/>
  <c r="G486" i="6" s="1"/>
  <c r="F487" i="6"/>
  <c r="G487" i="6" s="1"/>
  <c r="F488" i="6"/>
  <c r="G488" i="6" s="1"/>
  <c r="F489" i="6"/>
  <c r="G489" i="6" s="1"/>
  <c r="F490" i="6"/>
  <c r="G490" i="6" s="1"/>
  <c r="F491" i="6"/>
  <c r="G491" i="6" s="1"/>
  <c r="F492" i="6"/>
  <c r="G492" i="6" s="1"/>
  <c r="F493" i="6"/>
  <c r="G493" i="6" s="1"/>
  <c r="F494" i="6"/>
  <c r="G494" i="6" s="1"/>
  <c r="F495" i="6"/>
  <c r="G495" i="6" s="1"/>
  <c r="F496" i="6"/>
  <c r="G496" i="6" s="1"/>
  <c r="F497" i="6"/>
  <c r="G497" i="6" s="1"/>
  <c r="F498" i="6"/>
  <c r="G498" i="6" s="1"/>
  <c r="F499" i="6"/>
  <c r="G499" i="6" s="1"/>
  <c r="F500" i="6"/>
  <c r="G500" i="6" s="1"/>
  <c r="F501" i="6"/>
  <c r="G501" i="6" s="1"/>
  <c r="R9" i="12"/>
  <c r="R6" i="12"/>
  <c r="R7" i="12"/>
  <c r="R8" i="12"/>
  <c r="R5" i="12"/>
  <c r="Q6" i="12"/>
  <c r="Q7" i="12"/>
  <c r="Q8" i="12"/>
  <c r="Q9" i="12"/>
  <c r="Q5" i="12"/>
  <c r="P6" i="12"/>
  <c r="P7" i="12"/>
  <c r="P8" i="12"/>
  <c r="P9" i="12"/>
  <c r="P5" i="12"/>
  <c r="F5" i="6"/>
  <c r="G5" i="6" s="1"/>
  <c r="L19" i="4"/>
  <c r="N19" i="4" s="1"/>
  <c r="L20" i="4"/>
  <c r="N20" i="4" s="1"/>
  <c r="L21" i="4"/>
  <c r="N21" i="4" s="1"/>
  <c r="L22" i="4"/>
  <c r="N22" i="4" s="1"/>
  <c r="L23" i="4"/>
  <c r="N23" i="4" s="1"/>
  <c r="L24" i="4"/>
  <c r="N24" i="4" s="1"/>
  <c r="L25" i="4"/>
  <c r="N25" i="4" s="1"/>
  <c r="L26" i="4"/>
  <c r="N26" i="4" s="1"/>
  <c r="L27" i="4"/>
  <c r="N27" i="4" s="1"/>
  <c r="L28" i="4"/>
  <c r="N28" i="4" s="1"/>
  <c r="L29" i="4"/>
  <c r="N29" i="4" s="1"/>
  <c r="L30" i="4"/>
  <c r="N30" i="4" s="1"/>
  <c r="L31" i="4"/>
  <c r="N31" i="4" s="1"/>
  <c r="L32" i="4"/>
  <c r="N32" i="4" s="1"/>
  <c r="L33" i="4"/>
  <c r="N33" i="4" s="1"/>
  <c r="L34" i="4"/>
  <c r="N34" i="4" s="1"/>
  <c r="L35" i="4"/>
  <c r="N35" i="4" s="1"/>
  <c r="L36" i="4"/>
  <c r="N36" i="4" s="1"/>
  <c r="L37" i="4"/>
  <c r="N37" i="4" s="1"/>
  <c r="L38" i="4"/>
  <c r="N38" i="4" s="1"/>
  <c r="L39" i="4"/>
  <c r="N39" i="4" s="1"/>
  <c r="L40" i="4"/>
  <c r="N40" i="4" s="1"/>
  <c r="L41" i="4"/>
  <c r="N41" i="4" s="1"/>
  <c r="L42" i="4"/>
  <c r="N42" i="4" s="1"/>
  <c r="L43" i="4"/>
  <c r="N43" i="4" s="1"/>
  <c r="L44" i="4"/>
  <c r="N44" i="4" s="1"/>
  <c r="L45" i="4"/>
  <c r="N45" i="4" s="1"/>
  <c r="L46" i="4"/>
  <c r="N46" i="4" s="1"/>
  <c r="L47" i="4"/>
  <c r="N47" i="4" s="1"/>
  <c r="L48" i="4"/>
  <c r="N48" i="4" s="1"/>
  <c r="L49" i="4"/>
  <c r="N49" i="4" s="1"/>
  <c r="L50" i="4"/>
  <c r="N50" i="4" s="1"/>
  <c r="L51" i="4"/>
  <c r="N51" i="4" s="1"/>
  <c r="L52" i="4"/>
  <c r="N52" i="4" s="1"/>
  <c r="L53" i="4"/>
  <c r="N53" i="4" s="1"/>
  <c r="L54" i="4"/>
  <c r="N54" i="4" s="1"/>
  <c r="L55" i="4"/>
  <c r="N55" i="4" s="1"/>
  <c r="L56" i="4"/>
  <c r="N56" i="4" s="1"/>
  <c r="L57" i="4"/>
  <c r="N57" i="4" s="1"/>
  <c r="L58" i="4"/>
  <c r="N58" i="4" s="1"/>
  <c r="L59" i="4"/>
  <c r="N59" i="4" s="1"/>
  <c r="L60" i="4"/>
  <c r="N60" i="4" s="1"/>
  <c r="L61" i="4"/>
  <c r="N61" i="4" s="1"/>
  <c r="L62" i="4"/>
  <c r="N62" i="4" s="1"/>
  <c r="L63" i="4"/>
  <c r="N63" i="4" s="1"/>
  <c r="L64" i="4"/>
  <c r="N64" i="4" s="1"/>
  <c r="L65" i="4"/>
  <c r="N65" i="4" s="1"/>
  <c r="L66" i="4"/>
  <c r="N66" i="4" s="1"/>
  <c r="L67" i="4"/>
  <c r="N67" i="4" s="1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19" i="4"/>
  <c r="F20" i="4"/>
  <c r="F21" i="4"/>
  <c r="F2" i="6" l="1"/>
  <c r="G2" i="6" s="1"/>
  <c r="F3" i="6"/>
  <c r="F4" i="6"/>
  <c r="G4" i="6" s="1"/>
  <c r="L18" i="4"/>
  <c r="N18" i="4" s="1"/>
  <c r="N68" i="4" s="1"/>
  <c r="F18" i="4"/>
  <c r="L14" i="3" l="1"/>
  <c r="J19" i="3" s="1"/>
  <c r="G3" i="6"/>
  <c r="D13" i="4"/>
  <c r="L16" i="3" l="1"/>
  <c r="K68" i="4"/>
</calcChain>
</file>

<file path=xl/sharedStrings.xml><?xml version="1.0" encoding="utf-8"?>
<sst xmlns="http://schemas.openxmlformats.org/spreadsheetml/2006/main" count="128" uniqueCount="64">
  <si>
    <t>Nome:</t>
  </si>
  <si>
    <t>Endereço:</t>
  </si>
  <si>
    <t>Telefone:</t>
  </si>
  <si>
    <t>Código:</t>
  </si>
  <si>
    <t>Código</t>
  </si>
  <si>
    <t>Nome</t>
  </si>
  <si>
    <t>Endereço</t>
  </si>
  <si>
    <t>Telefone</t>
  </si>
  <si>
    <t>Descrição:</t>
  </si>
  <si>
    <t>Descrição</t>
  </si>
  <si>
    <t>Cliente:</t>
  </si>
  <si>
    <t>Valor:</t>
  </si>
  <si>
    <t>Descrição do Produto</t>
  </si>
  <si>
    <t>Qtde</t>
  </si>
  <si>
    <t>Valor</t>
  </si>
  <si>
    <t>Total:</t>
  </si>
  <si>
    <t>Saldo Estoque</t>
  </si>
  <si>
    <t>Cliente</t>
  </si>
  <si>
    <t>Total</t>
  </si>
  <si>
    <t>Data Entrada</t>
  </si>
  <si>
    <t>Data Saída</t>
  </si>
  <si>
    <t>Código Produto</t>
  </si>
  <si>
    <t>Código Cliente</t>
  </si>
  <si>
    <t>Data</t>
  </si>
  <si>
    <t>Quantidade:</t>
  </si>
  <si>
    <t>Produto:</t>
  </si>
  <si>
    <t>Quantidade</t>
  </si>
  <si>
    <t>Tipo</t>
  </si>
  <si>
    <t>Empresa:</t>
  </si>
  <si>
    <t>Empresa ABCDE</t>
  </si>
  <si>
    <r>
      <t xml:space="preserve">CADASTRO DE CLIENTES
</t>
    </r>
    <r>
      <rPr>
        <b/>
        <sz val="11"/>
        <color theme="7"/>
        <rFont val="Calibri"/>
        <family val="2"/>
        <scheme val="minor"/>
      </rPr>
      <t>Cadastre os clientes da sua empresa.</t>
    </r>
  </si>
  <si>
    <t>Estoque Mínimo:</t>
  </si>
  <si>
    <t>Fornecedor:</t>
  </si>
  <si>
    <t>ESTOQUE ATUAL</t>
  </si>
  <si>
    <t>Estoque Mínimo</t>
  </si>
  <si>
    <t>Fornecedor</t>
  </si>
  <si>
    <r>
      <t xml:space="preserve">CADASTRO DE PRODUTOS
</t>
    </r>
    <r>
      <rPr>
        <b/>
        <sz val="11"/>
        <color theme="7"/>
        <rFont val="Calibri"/>
        <family val="2"/>
        <scheme val="minor"/>
      </rPr>
      <t>Cadastre os produtos da sua empresa.</t>
    </r>
  </si>
  <si>
    <r>
      <t xml:space="preserve">CADASTRO DE VENDAS
</t>
    </r>
    <r>
      <rPr>
        <b/>
        <sz val="11"/>
        <color theme="7"/>
        <rFont val="Calibri"/>
        <family val="2"/>
        <scheme val="minor"/>
      </rPr>
      <t>Cadastre as saídas dos produtos.</t>
    </r>
  </si>
  <si>
    <t>Valor Unitário</t>
  </si>
  <si>
    <t>Subtotal</t>
  </si>
  <si>
    <t xml:space="preserve">Campo Automático. Não é necessário preencher. </t>
  </si>
  <si>
    <t>Rótulos de Linha</t>
  </si>
  <si>
    <t>Total Geral</t>
  </si>
  <si>
    <t>Soma de Saldo Estoque</t>
  </si>
  <si>
    <t>(vazio)</t>
  </si>
  <si>
    <t>Soma de Quantidade</t>
  </si>
  <si>
    <t>Compra Recente</t>
  </si>
  <si>
    <t>Qtde.</t>
  </si>
  <si>
    <t>Produto 1</t>
  </si>
  <si>
    <t>Fornecedor ABC</t>
  </si>
  <si>
    <t>Produto 2</t>
  </si>
  <si>
    <t>Produto 3</t>
  </si>
  <si>
    <t>Produto 4</t>
  </si>
  <si>
    <t>Produto 5</t>
  </si>
  <si>
    <t>Produto 6</t>
  </si>
  <si>
    <t>Entrada</t>
  </si>
  <si>
    <t>Cliente A</t>
  </si>
  <si>
    <t>Avenida Brasil</t>
  </si>
  <si>
    <t>Saída</t>
  </si>
  <si>
    <t>Estoque Crítico</t>
  </si>
  <si>
    <t>Saldo Estoque R$</t>
  </si>
  <si>
    <t>Soma de Saldo Estoque R$</t>
  </si>
  <si>
    <t>Sim</t>
  </si>
  <si>
    <t>08/nov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</si>
</sst>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$&quot;#,##0.00;\-&quot;R$&quot;#,##0.00"/>
    <numFmt numFmtId="165" formatCode="_-&quot;R$&quot;* #,##0.00_-;\-&quot;R$&quot;* #,##0.00_-;_-&quot;R$&quot;* &quot;-&quot;??_-;_-@_-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24"/>
      <color theme="8" tint="-0.499984740745262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sz val="16"/>
      <color theme="0" tint="-0.499984740745262"/>
      <name val="Calibri"/>
      <family val="2"/>
      <scheme val="minor"/>
    </font>
    <font>
      <b/>
      <sz val="14"/>
      <color theme="5"/>
      <name val="Calibri"/>
      <family val="2"/>
      <scheme val="minor"/>
    </font>
    <font>
      <b/>
      <sz val="11"/>
      <color theme="7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77">
    <xf numFmtId="0" fontId="0" fillId="0" borderId="0" xfId="0"/>
    <xf numFmtId="0" fontId="0" fillId="0" borderId="0" xfId="0" applyBorder="1" applyAlignment="1">
      <alignment horizontal="center"/>
    </xf>
    <xf numFmtId="164" fontId="0" fillId="0" borderId="0" xfId="1" applyNumberFormat="1" applyFont="1" applyBorder="1" applyAlignment="1">
      <alignment horizontal="center"/>
    </xf>
    <xf numFmtId="165" fontId="0" fillId="0" borderId="0" xfId="1" applyFont="1" applyBorder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Border="1"/>
    <xf numFmtId="14" fontId="0" fillId="0" borderId="0" xfId="0" applyNumberFormat="1" applyBorder="1" applyAlignment="1">
      <alignment horizontal="center"/>
    </xf>
    <xf numFmtId="0" fontId="0" fillId="2" borderId="0" xfId="0" applyNumberFormat="1" applyFill="1" applyBorder="1" applyAlignment="1">
      <alignment horizontal="center"/>
    </xf>
    <xf numFmtId="0" fontId="3" fillId="0" borderId="2" xfId="0" applyFont="1" applyFill="1" applyBorder="1" applyAlignment="1" applyProtection="1">
      <alignment horizontal="center"/>
      <protection locked="0"/>
    </xf>
    <xf numFmtId="0" fontId="7" fillId="0" borderId="1" xfId="0" applyFont="1" applyFill="1" applyBorder="1" applyAlignment="1" applyProtection="1">
      <alignment horizontal="center"/>
      <protection locked="0"/>
    </xf>
    <xf numFmtId="0" fontId="0" fillId="3" borderId="0" xfId="0" applyFill="1"/>
    <xf numFmtId="0" fontId="11" fillId="0" borderId="0" xfId="0" applyFont="1"/>
    <xf numFmtId="0" fontId="4" fillId="0" borderId="0" xfId="0" applyFont="1" applyFill="1"/>
    <xf numFmtId="0" fontId="0" fillId="0" borderId="0" xfId="0" applyFill="1"/>
    <xf numFmtId="0" fontId="0" fillId="4" borderId="0" xfId="0" applyFill="1"/>
    <xf numFmtId="0" fontId="3" fillId="0" borderId="0" xfId="0" applyFont="1" applyFill="1" applyBorder="1" applyAlignment="1" applyProtection="1">
      <protection locked="0"/>
    </xf>
    <xf numFmtId="0" fontId="13" fillId="0" borderId="0" xfId="0" applyFont="1" applyFill="1"/>
    <xf numFmtId="0" fontId="8" fillId="0" borderId="0" xfId="0" applyFont="1" applyFill="1" applyAlignment="1" applyProtection="1">
      <alignment horizontal="center"/>
      <protection locked="0"/>
    </xf>
    <xf numFmtId="0" fontId="2" fillId="4" borderId="1" xfId="0" applyFont="1" applyFill="1" applyBorder="1" applyAlignment="1">
      <alignment horizontal="center"/>
    </xf>
    <xf numFmtId="0" fontId="0" fillId="4" borderId="0" xfId="0" applyFill="1" applyAlignment="1">
      <alignment vertical="center"/>
    </xf>
    <xf numFmtId="0" fontId="5" fillId="4" borderId="0" xfId="0" applyFont="1" applyFill="1" applyAlignment="1">
      <alignment horizontal="right" vertical="center"/>
    </xf>
    <xf numFmtId="0" fontId="5" fillId="4" borderId="0" xfId="0" applyFont="1" applyFill="1" applyAlignment="1">
      <alignment horizontal="center" vertical="center"/>
    </xf>
    <xf numFmtId="0" fontId="2" fillId="4" borderId="0" xfId="0" applyFont="1" applyFill="1" applyBorder="1" applyAlignment="1">
      <alignment horizontal="center"/>
    </xf>
    <xf numFmtId="165" fontId="2" fillId="4" borderId="0" xfId="1" applyFont="1" applyFill="1" applyBorder="1" applyAlignment="1">
      <alignment horizontal="center"/>
    </xf>
    <xf numFmtId="165" fontId="2" fillId="4" borderId="0" xfId="1" applyFont="1" applyFill="1" applyAlignment="1">
      <alignment horizontal="center"/>
    </xf>
    <xf numFmtId="0" fontId="16" fillId="0" borderId="0" xfId="0" applyFont="1" applyFill="1"/>
    <xf numFmtId="165" fontId="2" fillId="4" borderId="0" xfId="1" applyNumberFormat="1" applyFont="1" applyFill="1" applyBorder="1" applyAlignment="1">
      <alignment horizontal="center"/>
    </xf>
    <xf numFmtId="165" fontId="0" fillId="0" borderId="0" xfId="1" applyNumberFormat="1" applyFont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5" fontId="0" fillId="0" borderId="0" xfId="0" applyNumberFormat="1"/>
    <xf numFmtId="14" fontId="0" fillId="0" borderId="0" xfId="0" applyNumberFormat="1"/>
    <xf numFmtId="0" fontId="0" fillId="0" borderId="1" xfId="0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/>
    </xf>
    <xf numFmtId="0" fontId="2" fillId="4" borderId="0" xfId="1" applyNumberFormat="1" applyFont="1" applyFill="1" applyBorder="1" applyAlignment="1">
      <alignment horizontal="center"/>
    </xf>
    <xf numFmtId="0" fontId="0" fillId="0" borderId="0" xfId="1" applyNumberFormat="1" applyFont="1" applyBorder="1" applyAlignment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9" fillId="0" borderId="0" xfId="0" applyFont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10" fillId="0" borderId="7" xfId="0" applyFont="1" applyBorder="1" applyAlignment="1" applyProtection="1">
      <alignment horizontal="left" vertical="center"/>
      <protection locked="0"/>
    </xf>
    <xf numFmtId="0" fontId="10" fillId="0" borderId="8" xfId="0" applyFont="1" applyBorder="1" applyAlignment="1" applyProtection="1">
      <alignment horizontal="left" vertical="center"/>
      <protection locked="0"/>
    </xf>
    <xf numFmtId="0" fontId="10" fillId="0" borderId="9" xfId="0" applyFont="1" applyBorder="1" applyAlignment="1" applyProtection="1">
      <alignment horizontal="left" vertical="center"/>
      <protection locked="0"/>
    </xf>
    <xf numFmtId="0" fontId="3" fillId="0" borderId="2" xfId="0" applyFont="1" applyFill="1" applyBorder="1" applyAlignment="1" applyProtection="1">
      <alignment horizontal="left"/>
      <protection locked="0"/>
    </xf>
    <xf numFmtId="0" fontId="3" fillId="0" borderId="3" xfId="0" applyFont="1" applyFill="1" applyBorder="1" applyAlignment="1" applyProtection="1">
      <alignment horizontal="left"/>
      <protection locked="0"/>
    </xf>
    <xf numFmtId="0" fontId="3" fillId="0" borderId="4" xfId="0" applyFont="1" applyFill="1" applyBorder="1" applyAlignment="1" applyProtection="1">
      <alignment horizontal="left"/>
      <protection locked="0"/>
    </xf>
    <xf numFmtId="0" fontId="2" fillId="4" borderId="0" xfId="0" applyFont="1" applyFill="1" applyAlignment="1">
      <alignment horizontal="left" vertical="center" wrapText="1"/>
    </xf>
    <xf numFmtId="0" fontId="3" fillId="0" borderId="2" xfId="0" applyFont="1" applyFill="1" applyBorder="1" applyAlignment="1" applyProtection="1">
      <alignment horizontal="center"/>
      <protection locked="0"/>
    </xf>
    <xf numFmtId="0" fontId="3" fillId="0" borderId="4" xfId="0" applyFont="1" applyFill="1" applyBorder="1" applyAlignment="1" applyProtection="1">
      <alignment horizontal="center"/>
      <protection locked="0"/>
    </xf>
    <xf numFmtId="0" fontId="6" fillId="4" borderId="0" xfId="0" applyFont="1" applyFill="1" applyAlignment="1">
      <alignment horizontal="center" vertical="center"/>
    </xf>
    <xf numFmtId="165" fontId="14" fillId="4" borderId="0" xfId="0" applyNumberFormat="1" applyFont="1" applyFill="1" applyAlignment="1">
      <alignment horizontal="center" vertical="center"/>
    </xf>
    <xf numFmtId="0" fontId="15" fillId="0" borderId="0" xfId="0" applyFont="1" applyFill="1" applyAlignment="1">
      <alignment horizontal="center" vertical="center" wrapText="1"/>
    </xf>
    <xf numFmtId="0" fontId="2" fillId="4" borderId="0" xfId="0" applyFont="1" applyFill="1" applyAlignment="1">
      <alignment horizontal="center"/>
    </xf>
    <xf numFmtId="165" fontId="3" fillId="0" borderId="2" xfId="1" applyFont="1" applyFill="1" applyBorder="1" applyAlignment="1" applyProtection="1">
      <alignment horizontal="center"/>
      <protection locked="0"/>
    </xf>
    <xf numFmtId="165" fontId="3" fillId="0" borderId="3" xfId="1" applyFont="1" applyFill="1" applyBorder="1" applyAlignment="1" applyProtection="1">
      <alignment horizontal="center"/>
      <protection locked="0"/>
    </xf>
    <xf numFmtId="165" fontId="3" fillId="0" borderId="4" xfId="1" applyFont="1" applyFill="1" applyBorder="1" applyAlignment="1" applyProtection="1">
      <alignment horizontal="center"/>
      <protection locked="0"/>
    </xf>
    <xf numFmtId="0" fontId="0" fillId="0" borderId="2" xfId="0" applyFill="1" applyBorder="1" applyAlignment="1" applyProtection="1">
      <alignment horizontal="center"/>
      <protection locked="0"/>
    </xf>
    <xf numFmtId="0" fontId="0" fillId="0" borderId="3" xfId="0" applyFill="1" applyBorder="1" applyAlignment="1" applyProtection="1">
      <alignment horizontal="center"/>
      <protection locked="0"/>
    </xf>
    <xf numFmtId="0" fontId="0" fillId="0" borderId="4" xfId="0" applyFill="1" applyBorder="1" applyAlignment="1" applyProtection="1">
      <alignment horizontal="center"/>
      <protection locked="0"/>
    </xf>
    <xf numFmtId="0" fontId="7" fillId="5" borderId="2" xfId="0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165" fontId="7" fillId="5" borderId="2" xfId="1" applyFont="1" applyFill="1" applyBorder="1" applyAlignment="1">
      <alignment horizontal="center"/>
    </xf>
    <xf numFmtId="165" fontId="7" fillId="5" borderId="4" xfId="1" applyFont="1" applyFill="1" applyBorder="1" applyAlignment="1">
      <alignment horizontal="center"/>
    </xf>
    <xf numFmtId="0" fontId="3" fillId="0" borderId="3" xfId="0" applyFont="1" applyFill="1" applyBorder="1" applyAlignment="1" applyProtection="1">
      <alignment horizontal="center"/>
      <protection locked="0"/>
    </xf>
    <xf numFmtId="0" fontId="2" fillId="4" borderId="1" xfId="0" applyFont="1" applyFill="1" applyBorder="1" applyAlignment="1">
      <alignment horizontal="center"/>
    </xf>
    <xf numFmtId="0" fontId="3" fillId="5" borderId="2" xfId="0" applyFont="1" applyFill="1" applyBorder="1" applyAlignment="1" applyProtection="1">
      <alignment horizontal="left"/>
    </xf>
    <xf numFmtId="0" fontId="3" fillId="5" borderId="3" xfId="0" applyFont="1" applyFill="1" applyBorder="1" applyAlignment="1" applyProtection="1">
      <alignment horizontal="left"/>
    </xf>
    <xf numFmtId="0" fontId="3" fillId="5" borderId="4" xfId="0" applyFont="1" applyFill="1" applyBorder="1" applyAlignment="1" applyProtection="1">
      <alignment horizontal="left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165" fontId="5" fillId="4" borderId="5" xfId="0" applyNumberFormat="1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</cellXfs>
  <cellStyles count="2">
    <cellStyle name="Moeda" xfId="1" builtinId="4"/>
    <cellStyle name="Normal" xfId="0" builtinId="0"/>
  </cellStyles>
  <dxfs count="34">
    <dxf>
      <numFmt numFmtId="165" formatCode="_-&quot;R$&quot;* #,##0.00_-;\-&quot;R$&quot;* #,##0.00_-;_-&quot;R$&quot;* &quot;-&quot;??_-;_-@_-"/>
    </dxf>
    <dxf>
      <numFmt numFmtId="165" formatCode="_-&quot;R$&quot;* #,##0.00_-;\-&quot;R$&quot;* #,##0.00_-;_-&quot;R$&quot;* &quot;-&quot;??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#,##0.00;\-&quot;R$&quot;#,##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8" tint="-0.499984740745262"/>
        </patternFill>
      </fill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8" tint="-0.499984740745262"/>
        </patternFill>
      </fill>
      <alignment horizontal="center" vertical="bottom" textRotation="0" wrapText="0" indent="0" justifyLastLine="0" shrinkToFit="0" readingOrder="0"/>
    </dxf>
    <dxf>
      <numFmt numFmtId="165" formatCode="_-&quot;R$&quot;* #,##0.00_-;\-&quot;R$&quot;* #,##0.00_-;_-&quot;R$&quot;* &quot;-&quot;??_-;_-@_-"/>
    </dxf>
    <dxf>
      <numFmt numFmtId="0" formatCode="General"/>
    </dxf>
    <dxf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165" formatCode="_-&quot;R$&quot;* #,##0.00_-;\-&quot;R$&quot;* #,##0.00_-;_-&quot;R$&quot;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8" tint="-0.49998474074526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8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[Controle_de_Estoque.xlsm]Tab!Tabela dinâmica2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accent5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accent5">
                    <a:lumMod val="75000"/>
                  </a:schemeClr>
                </a:solidFill>
              </a:rPr>
              <a:t>Alto Estoque</a:t>
            </a:r>
          </a:p>
        </c:rich>
      </c:tx>
      <c:layout>
        <c:manualLayout>
          <c:xMode val="edge"/>
          <c:yMode val="edge"/>
          <c:x val="3.6006325255296449E-3"/>
          <c:y val="1.07064575956836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5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5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5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Tab!$F$1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Tab!$E$2:$E$9</c:f>
              <c:strCache>
                <c:ptCount val="7"/>
                <c:pt idx="0">
                  <c:v>Produto 1</c:v>
                </c:pt>
                <c:pt idx="1">
                  <c:v>Produto 2</c:v>
                </c:pt>
                <c:pt idx="2">
                  <c:v>Produto 5</c:v>
                </c:pt>
                <c:pt idx="3">
                  <c:v>Produto 4</c:v>
                </c:pt>
                <c:pt idx="4">
                  <c:v>Produto 6</c:v>
                </c:pt>
                <c:pt idx="5">
                  <c:v>(vazio)</c:v>
                </c:pt>
                <c:pt idx="6">
                  <c:v>Produto 3</c:v>
                </c:pt>
              </c:strCache>
            </c:strRef>
          </c:cat>
          <c:val>
            <c:numRef>
              <c:f>Tab!$F$2:$F$9</c:f>
              <c:numCache>
                <c:formatCode>General</c:formatCode>
                <c:ptCount val="7"/>
                <c:pt idx="0">
                  <c:v>80</c:v>
                </c:pt>
                <c:pt idx="1">
                  <c:v>10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03-424F-B06D-2677F0E6394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40779504"/>
        <c:axId val="440779832"/>
      </c:barChart>
      <c:catAx>
        <c:axId val="440779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5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0779832"/>
        <c:crosses val="autoZero"/>
        <c:auto val="1"/>
        <c:lblAlgn val="ctr"/>
        <c:lblOffset val="100"/>
        <c:noMultiLvlLbl val="0"/>
      </c:catAx>
      <c:valAx>
        <c:axId val="44077983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40779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accent5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>
                <a:solidFill>
                  <a:schemeClr val="accent5">
                    <a:lumMod val="75000"/>
                  </a:schemeClr>
                </a:solidFill>
              </a:rPr>
              <a:t>Compras Recentes</a:t>
            </a:r>
          </a:p>
        </c:rich>
      </c:tx>
      <c:layout>
        <c:manualLayout>
          <c:xMode val="edge"/>
          <c:yMode val="edge"/>
          <c:x val="9.5126505105926876E-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"/>
          <c:y val="0.19829327172671585"/>
          <c:w val="0.94676878524615149"/>
          <c:h val="0.5770043782230990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Tab!$P$5:$Q$9</c:f>
              <c:multiLvlStrCache>
                <c:ptCount val="5"/>
                <c:lvl>
                  <c:pt idx="0">
                    <c:v>Produto 2</c:v>
                  </c:pt>
                  <c:pt idx="1">
                    <c:v>Produto 1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lvl>
                <c:lvl>
                  <c:pt idx="0">
                    <c:v>08/nov</c:v>
                  </c:pt>
                  <c:pt idx="1">
                    <c:v>08/nov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</c:lvl>
              </c:multiLvlStrCache>
            </c:multiLvlStrRef>
          </c:cat>
          <c:val>
            <c:numRef>
              <c:f>Tab!$R$5:$R$9</c:f>
              <c:numCache>
                <c:formatCode>General</c:formatCode>
                <c:ptCount val="5"/>
                <c:pt idx="0">
                  <c:v>15</c:v>
                </c:pt>
                <c:pt idx="1">
                  <c:v>100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7C-4F66-99E9-2FA8B309D5D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32417664"/>
        <c:axId val="732417992"/>
      </c:barChart>
      <c:catAx>
        <c:axId val="732417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5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32417992"/>
        <c:crosses val="autoZero"/>
        <c:auto val="1"/>
        <c:lblAlgn val="ctr"/>
        <c:lblOffset val="100"/>
        <c:noMultiLvlLbl val="0"/>
      </c:catAx>
      <c:valAx>
        <c:axId val="732417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32417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[Controle_de_Estoque.xlsm]Tab!Tabela dinâmica6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accent5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accent5">
                    <a:lumMod val="75000"/>
                  </a:schemeClr>
                </a:solidFill>
              </a:rPr>
              <a:t>Mais Comprados</a:t>
            </a:r>
          </a:p>
        </c:rich>
      </c:tx>
      <c:layout>
        <c:manualLayout>
          <c:xMode val="edge"/>
          <c:yMode val="edge"/>
          <c:x val="2.3182441700960342E-3"/>
          <c:y val="1.07064575956836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5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Tab!$Z$3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Tab!$Y$4:$Y$6</c:f>
              <c:strCache>
                <c:ptCount val="2"/>
                <c:pt idx="0">
                  <c:v>Produto 1</c:v>
                </c:pt>
                <c:pt idx="1">
                  <c:v>Produto 2</c:v>
                </c:pt>
              </c:strCache>
            </c:strRef>
          </c:cat>
          <c:val>
            <c:numRef>
              <c:f>Tab!$Z$4:$Z$6</c:f>
              <c:numCache>
                <c:formatCode>General</c:formatCode>
                <c:ptCount val="2"/>
                <c:pt idx="0">
                  <c:v>100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D-4023-B47B-9B1FEEB6C03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30389632"/>
        <c:axId val="649149088"/>
      </c:barChart>
      <c:catAx>
        <c:axId val="730389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5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9149088"/>
        <c:crosses val="autoZero"/>
        <c:auto val="1"/>
        <c:lblAlgn val="ctr"/>
        <c:lblOffset val="100"/>
        <c:noMultiLvlLbl val="0"/>
      </c:catAx>
      <c:valAx>
        <c:axId val="6491490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3038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[Controle_de_Estoque.xlsm]Tab!Tabela dinâmica1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accent5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Estoque Crítico</a:t>
            </a:r>
          </a:p>
        </c:rich>
      </c:tx>
      <c:layout>
        <c:manualLayout>
          <c:xMode val="edge"/>
          <c:yMode val="edge"/>
          <c:x val="5.0022737608003643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accent5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accent5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accent5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8303104488620532E-2"/>
          <c:y val="0.15782407407407409"/>
          <c:w val="0.94721133513019395"/>
          <c:h val="0.700081539266633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Tab!$B$3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Tab!$A$4:$A$9</c:f>
              <c:strCache>
                <c:ptCount val="5"/>
                <c:pt idx="0">
                  <c:v>Produto 2</c:v>
                </c:pt>
                <c:pt idx="1">
                  <c:v>Produto 3</c:v>
                </c:pt>
                <c:pt idx="2">
                  <c:v>Produto 4</c:v>
                </c:pt>
                <c:pt idx="3">
                  <c:v>Produto 5</c:v>
                </c:pt>
                <c:pt idx="4">
                  <c:v>Produto 6</c:v>
                </c:pt>
              </c:strCache>
            </c:strRef>
          </c:cat>
          <c:val>
            <c:numRef>
              <c:f>Tab!$B$4:$B$9</c:f>
              <c:numCache>
                <c:formatCode>General</c:formatCode>
                <c:ptCount val="5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BB-44AA-8CCF-C8C05F99160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31085504"/>
        <c:axId val="820161632"/>
      </c:barChart>
      <c:catAx>
        <c:axId val="631085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5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20161632"/>
        <c:crosses val="autoZero"/>
        <c:auto val="1"/>
        <c:lblAlgn val="ctr"/>
        <c:lblOffset val="100"/>
        <c:noMultiLvlLbl val="0"/>
      </c:catAx>
      <c:valAx>
        <c:axId val="82016163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1085504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>
          <a:solidFill>
            <a:schemeClr val="accent5">
              <a:lumMod val="75000"/>
            </a:schemeClr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[Controle_de_Estoque.xlsm]Tab!Tabela dinâmica3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accent5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accent5">
                    <a:lumMod val="75000"/>
                  </a:schemeClr>
                </a:solidFill>
              </a:rPr>
              <a:t>Alto Valor no Estoque</a:t>
            </a:r>
          </a:p>
        </c:rich>
      </c:tx>
      <c:layout>
        <c:manualLayout>
          <c:xMode val="edge"/>
          <c:yMode val="edge"/>
          <c:x val="1.9304461942257075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5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5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5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5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Tab!$I$1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Tab!$H$2:$H$9</c:f>
              <c:strCache>
                <c:ptCount val="7"/>
                <c:pt idx="0">
                  <c:v>Produto 1</c:v>
                </c:pt>
                <c:pt idx="1">
                  <c:v>Produto 2</c:v>
                </c:pt>
                <c:pt idx="2">
                  <c:v>Produto 5</c:v>
                </c:pt>
                <c:pt idx="3">
                  <c:v>Produto 4</c:v>
                </c:pt>
                <c:pt idx="4">
                  <c:v>Produto 6</c:v>
                </c:pt>
                <c:pt idx="5">
                  <c:v>(vazio)</c:v>
                </c:pt>
                <c:pt idx="6">
                  <c:v>Produto 3</c:v>
                </c:pt>
              </c:strCache>
            </c:strRef>
          </c:cat>
          <c:val>
            <c:numRef>
              <c:f>Tab!$I$2:$I$9</c:f>
              <c:numCache>
                <c:formatCode>_-"R$"* #,##0.00_-;\-"R$"* #,##0.00_-;_-"R$"* "-"??_-;_-@_-</c:formatCode>
                <c:ptCount val="7"/>
                <c:pt idx="0">
                  <c:v>4000</c:v>
                </c:pt>
                <c:pt idx="1">
                  <c:v>100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DC-430E-824C-676B6F6BF5A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73443408"/>
        <c:axId val="773438816"/>
      </c:barChart>
      <c:catAx>
        <c:axId val="77344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5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73438816"/>
        <c:crosses val="autoZero"/>
        <c:auto val="1"/>
        <c:lblAlgn val="ctr"/>
        <c:lblOffset val="100"/>
        <c:noMultiLvlLbl val="0"/>
      </c:catAx>
      <c:valAx>
        <c:axId val="773438816"/>
        <c:scaling>
          <c:orientation val="minMax"/>
        </c:scaling>
        <c:delete val="1"/>
        <c:axPos val="l"/>
        <c:numFmt formatCode="_-&quot;R$&quot;* #,##0.00_-;\-&quot;R$&quot;* #,##0.00_-;_-&quot;R$&quot;* &quot;-&quot;??_-;_-@_-" sourceLinked="1"/>
        <c:majorTickMark val="none"/>
        <c:minorTickMark val="none"/>
        <c:tickLblPos val="nextTo"/>
        <c:crossAx val="77344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[Controle_de_Estoque.xlsm]Tab!Tabela dinâmica5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accent5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baseline="0">
                <a:solidFill>
                  <a:schemeClr val="accent5">
                    <a:lumMod val="75000"/>
                  </a:schemeClr>
                </a:solidFill>
              </a:rPr>
              <a:t> Mais Vendidos</a:t>
            </a:r>
            <a:endParaRPr lang="en-US" b="1">
              <a:solidFill>
                <a:schemeClr val="accent5">
                  <a:lumMod val="75000"/>
                </a:schemeClr>
              </a:solidFill>
            </a:endParaRPr>
          </a:p>
        </c:rich>
      </c:tx>
      <c:layout>
        <c:manualLayout>
          <c:xMode val="edge"/>
          <c:yMode val="edge"/>
          <c:x val="5.3993293705228789E-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5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5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5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Tab!$V$3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Tab!$U$4:$U$6</c:f>
              <c:strCache>
                <c:ptCount val="2"/>
                <c:pt idx="0">
                  <c:v>Produto 1</c:v>
                </c:pt>
                <c:pt idx="1">
                  <c:v>Produto 2</c:v>
                </c:pt>
              </c:strCache>
            </c:strRef>
          </c:cat>
          <c:val>
            <c:numRef>
              <c:f>Tab!$V$4:$V$6</c:f>
              <c:numCache>
                <c:formatCode>General</c:formatCode>
                <c:ptCount val="2"/>
                <c:pt idx="0">
                  <c:v>20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52-4A7D-87DD-3F1C329012A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50269376"/>
        <c:axId val="650269704"/>
      </c:barChart>
      <c:catAx>
        <c:axId val="65026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5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0269704"/>
        <c:crosses val="autoZero"/>
        <c:auto val="1"/>
        <c:lblAlgn val="ctr"/>
        <c:lblOffset val="100"/>
        <c:noMultiLvlLbl val="0"/>
      </c:catAx>
      <c:valAx>
        <c:axId val="65026970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50269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Clientes!A1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hyperlink" Target="#Instru&#231;&#245;es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13" Type="http://schemas.openxmlformats.org/officeDocument/2006/relationships/hyperlink" Target="#Vendas!A1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hyperlink" Target="#Produtos!A1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hyperlink" Target="#Clientes!A1"/><Relationship Id="rId5" Type="http://schemas.openxmlformats.org/officeDocument/2006/relationships/image" Target="../media/image9.png"/><Relationship Id="rId10" Type="http://schemas.openxmlformats.org/officeDocument/2006/relationships/image" Target="../media/image1.png"/><Relationship Id="rId4" Type="http://schemas.openxmlformats.org/officeDocument/2006/relationships/image" Target="../media/image8.svg"/><Relationship Id="rId9" Type="http://schemas.openxmlformats.org/officeDocument/2006/relationships/hyperlink" Target="#Menu!A1"/><Relationship Id="rId14" Type="http://schemas.openxmlformats.org/officeDocument/2006/relationships/hyperlink" Target="#Relat&#243;rio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!A1"/><Relationship Id="rId13" Type="http://schemas.openxmlformats.org/officeDocument/2006/relationships/image" Target="../media/image9.png"/><Relationship Id="rId3" Type="http://schemas.openxmlformats.org/officeDocument/2006/relationships/hyperlink" Target="#Menu!A1"/><Relationship Id="rId7" Type="http://schemas.openxmlformats.org/officeDocument/2006/relationships/hyperlink" Target="#Vendas!A1"/><Relationship Id="rId12" Type="http://schemas.openxmlformats.org/officeDocument/2006/relationships/image" Target="../media/image8.svg"/><Relationship Id="rId2" Type="http://schemas.microsoft.com/office/2007/relationships/hdphoto" Target="../media/hdphoto1.wdp"/><Relationship Id="rId16" Type="http://schemas.openxmlformats.org/officeDocument/2006/relationships/image" Target="../media/image12.svg"/><Relationship Id="rId1" Type="http://schemas.openxmlformats.org/officeDocument/2006/relationships/image" Target="../media/image13.png"/><Relationship Id="rId6" Type="http://schemas.openxmlformats.org/officeDocument/2006/relationships/hyperlink" Target="#Produtos!A1"/><Relationship Id="rId11" Type="http://schemas.openxmlformats.org/officeDocument/2006/relationships/image" Target="../media/image7.png"/><Relationship Id="rId5" Type="http://schemas.openxmlformats.org/officeDocument/2006/relationships/hyperlink" Target="#Clientes!A1"/><Relationship Id="rId15" Type="http://schemas.openxmlformats.org/officeDocument/2006/relationships/image" Target="../media/image11.png"/><Relationship Id="rId10" Type="http://schemas.openxmlformats.org/officeDocument/2006/relationships/image" Target="../media/image6.svg"/><Relationship Id="rId4" Type="http://schemas.openxmlformats.org/officeDocument/2006/relationships/image" Target="../media/image1.png"/><Relationship Id="rId9" Type="http://schemas.openxmlformats.org/officeDocument/2006/relationships/image" Target="../media/image5.png"/><Relationship Id="rId14" Type="http://schemas.openxmlformats.org/officeDocument/2006/relationships/image" Target="../media/image10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Produtos!A1"/><Relationship Id="rId13" Type="http://schemas.openxmlformats.org/officeDocument/2006/relationships/image" Target="../media/image9.png"/><Relationship Id="rId3" Type="http://schemas.microsoft.com/office/2007/relationships/hdphoto" Target="../media/hdphoto2.wdp"/><Relationship Id="rId7" Type="http://schemas.openxmlformats.org/officeDocument/2006/relationships/hyperlink" Target="#Clientes!A1"/><Relationship Id="rId12" Type="http://schemas.openxmlformats.org/officeDocument/2006/relationships/image" Target="../media/image8.sv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.png"/><Relationship Id="rId11" Type="http://schemas.openxmlformats.org/officeDocument/2006/relationships/image" Target="../media/image7.png"/><Relationship Id="rId5" Type="http://schemas.openxmlformats.org/officeDocument/2006/relationships/hyperlink" Target="#Menu!A1"/><Relationship Id="rId10" Type="http://schemas.openxmlformats.org/officeDocument/2006/relationships/hyperlink" Target="#Relat&#243;rio!A1"/><Relationship Id="rId4" Type="http://schemas.openxmlformats.org/officeDocument/2006/relationships/image" Target="../media/image16.png"/><Relationship Id="rId9" Type="http://schemas.openxmlformats.org/officeDocument/2006/relationships/hyperlink" Target="#Vendas!A1"/><Relationship Id="rId14" Type="http://schemas.openxmlformats.org/officeDocument/2006/relationships/image" Target="../media/image10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hyperlink" Target="#Clientes!A1"/><Relationship Id="rId7" Type="http://schemas.openxmlformats.org/officeDocument/2006/relationships/chart" Target="../charts/chart1.xml"/><Relationship Id="rId12" Type="http://schemas.openxmlformats.org/officeDocument/2006/relationships/chart" Target="../charts/chart6.xml"/><Relationship Id="rId2" Type="http://schemas.openxmlformats.org/officeDocument/2006/relationships/image" Target="../media/image1.png"/><Relationship Id="rId1" Type="http://schemas.openxmlformats.org/officeDocument/2006/relationships/hyperlink" Target="#Menu!A1"/><Relationship Id="rId6" Type="http://schemas.openxmlformats.org/officeDocument/2006/relationships/hyperlink" Target="#Relat&#243;rio!A1"/><Relationship Id="rId11" Type="http://schemas.openxmlformats.org/officeDocument/2006/relationships/chart" Target="../charts/chart5.xml"/><Relationship Id="rId5" Type="http://schemas.openxmlformats.org/officeDocument/2006/relationships/hyperlink" Target="#Vendas!A1"/><Relationship Id="rId10" Type="http://schemas.openxmlformats.org/officeDocument/2006/relationships/chart" Target="../charts/chart4.xml"/><Relationship Id="rId4" Type="http://schemas.openxmlformats.org/officeDocument/2006/relationships/hyperlink" Target="#Produtos!A1"/><Relationship Id="rId9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7" Type="http://schemas.openxmlformats.org/officeDocument/2006/relationships/image" Target="../media/image20.png"/><Relationship Id="rId2" Type="http://schemas.openxmlformats.org/officeDocument/2006/relationships/hyperlink" Target="#Menu!A1"/><Relationship Id="rId1" Type="http://schemas.openxmlformats.org/officeDocument/2006/relationships/image" Target="../media/image17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hyperlink" Target="#Clientes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129540</xdr:colOff>
      <xdr:row>0</xdr:row>
      <xdr:rowOff>0</xdr:rowOff>
    </xdr:from>
    <xdr:ext cx="345186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1B169A59-F949-4A60-AEA8-42B45E2BF20A}"/>
            </a:ext>
          </a:extLst>
        </xdr:cNvPr>
        <xdr:cNvSpPr txBox="1"/>
      </xdr:nvSpPr>
      <xdr:spPr>
        <a:xfrm>
          <a:off x="2567940" y="0"/>
          <a:ext cx="345186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Controle</a:t>
          </a:r>
          <a:r>
            <a:rPr lang="pt-BR" sz="2400" b="1" baseline="0">
              <a:solidFill>
                <a:schemeClr val="accent5">
                  <a:lumMod val="75000"/>
                </a:schemeClr>
              </a:solidFill>
            </a:rPr>
            <a:t> de Estoque</a:t>
          </a:r>
          <a:endParaRPr lang="pt-BR" sz="2400" b="1">
            <a:solidFill>
              <a:schemeClr val="accent5">
                <a:lumMod val="75000"/>
              </a:schemeClr>
            </a:solidFill>
          </a:endParaRPr>
        </a:p>
      </xdr:txBody>
    </xdr:sp>
    <xdr:clientData/>
  </xdr:oneCellAnchor>
  <xdr:twoCellAnchor editAs="absolute">
    <xdr:from>
      <xdr:col>0</xdr:col>
      <xdr:colOff>320040</xdr:colOff>
      <xdr:row>0</xdr:row>
      <xdr:rowOff>0</xdr:rowOff>
    </xdr:from>
    <xdr:to>
      <xdr:col>3</xdr:col>
      <xdr:colOff>444241</xdr:colOff>
      <xdr:row>3</xdr:row>
      <xdr:rowOff>9360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3D33C425-3C98-459B-AB80-DEAFAB8A99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" y="0"/>
          <a:ext cx="1953001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137160</xdr:colOff>
      <xdr:row>8</xdr:row>
      <xdr:rowOff>110490</xdr:rowOff>
    </xdr:from>
    <xdr:to>
      <xdr:col>6</xdr:col>
      <xdr:colOff>249960</xdr:colOff>
      <xdr:row>10</xdr:row>
      <xdr:rowOff>9290</xdr:rowOff>
    </xdr:to>
    <xdr:sp macro="" textlink="">
      <xdr:nvSpPr>
        <xdr:cNvPr id="4" name="CaixaDeText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A856D4B-050B-44EB-90F9-B8D3F5C2125C}"/>
            </a:ext>
          </a:extLst>
        </xdr:cNvPr>
        <xdr:cNvSpPr txBox="1"/>
      </xdr:nvSpPr>
      <xdr:spPr>
        <a:xfrm>
          <a:off x="2575560" y="86487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Acessar a Planilha</a:t>
          </a:r>
        </a:p>
      </xdr:txBody>
    </xdr:sp>
    <xdr:clientData/>
  </xdr:twoCellAnchor>
  <xdr:oneCellAnchor>
    <xdr:from>
      <xdr:col>4</xdr:col>
      <xdr:colOff>129540</xdr:colOff>
      <xdr:row>10</xdr:row>
      <xdr:rowOff>152400</xdr:rowOff>
    </xdr:from>
    <xdr:ext cx="9720000" cy="2377440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DC7F5C21-DEF3-4D22-96DF-1BF2252EA589}"/>
            </a:ext>
          </a:extLst>
        </xdr:cNvPr>
        <xdr:cNvSpPr txBox="1"/>
      </xdr:nvSpPr>
      <xdr:spPr>
        <a:xfrm>
          <a:off x="2491740" y="1295400"/>
          <a:ext cx="9720000" cy="2377440"/>
        </a:xfrm>
        <a:prstGeom prst="rect">
          <a:avLst/>
        </a:prstGeom>
        <a:solidFill>
          <a:srgbClr val="E4F2F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0" i="0" u="none" strike="noStrike" kern="0" cap="none" spc="0" normalizeH="0" baseline="0" noProof="0">
              <a:ln>
                <a:noFill/>
              </a:ln>
              <a:solidFill>
                <a:prstClr val="white">
                  <a:lumMod val="50000"/>
                </a:prstClr>
              </a:solidFill>
              <a:effectLst/>
              <a:uLnTx/>
              <a:uFillTx/>
              <a:latin typeface="+mn-lt"/>
              <a:ea typeface="+mn-ea"/>
              <a:cs typeface="+mn-cs"/>
            </a:rPr>
            <a:t>O Controle de Estoque é fundamental para a sobrevivência de uma micro ou pequena empresa. O conhecimento sobre a reserva de produtos de uma empresa é essencial para uma boa gestão de estoque e permite idenficar o momento certo de buscar novos produtos com os fornecedores.</a:t>
          </a:r>
        </a:p>
        <a:p>
          <a:endParaRPr lang="pt-BR" sz="2000">
            <a:solidFill>
              <a:schemeClr val="accent5">
                <a:lumMod val="75000"/>
              </a:schemeClr>
            </a:solidFill>
          </a:endParaRPr>
        </a:p>
      </xdr:txBody>
    </xdr:sp>
    <xdr:clientData/>
  </xdr:oneCellAnchor>
  <xdr:twoCellAnchor editAs="oneCell">
    <xdr:from>
      <xdr:col>0</xdr:col>
      <xdr:colOff>0</xdr:colOff>
      <xdr:row>11</xdr:row>
      <xdr:rowOff>7620</xdr:rowOff>
    </xdr:from>
    <xdr:to>
      <xdr:col>4</xdr:col>
      <xdr:colOff>12456</xdr:colOff>
      <xdr:row>23</xdr:row>
      <xdr:rowOff>144779</xdr:rowOff>
    </xdr:to>
    <xdr:pic>
      <xdr:nvPicPr>
        <xdr:cNvPr id="6" name="Imagem 5" descr="Imagem relacionada">
          <a:extLst>
            <a:ext uri="{FF2B5EF4-FFF2-40B4-BE49-F238E27FC236}">
              <a16:creationId xmlns:a16="http://schemas.microsoft.com/office/drawing/2014/main" id="{1580B3C5-51E5-4182-B5F8-1FB81B200B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10640"/>
          <a:ext cx="2450856" cy="23317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17</xdr:col>
      <xdr:colOff>480060</xdr:colOff>
      <xdr:row>25</xdr:row>
      <xdr:rowOff>144780</xdr:rowOff>
    </xdr:from>
    <xdr:ext cx="2141805" cy="264560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62DA0A9A-A96A-446C-9C27-0A3A62D2D836}"/>
            </a:ext>
          </a:extLst>
        </xdr:cNvPr>
        <xdr:cNvSpPr txBox="1"/>
      </xdr:nvSpPr>
      <xdr:spPr>
        <a:xfrm>
          <a:off x="10843260" y="4008120"/>
          <a:ext cx="214180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>
              <a:solidFill>
                <a:schemeClr val="bg1">
                  <a:lumMod val="65000"/>
                </a:schemeClr>
              </a:solidFill>
            </a:rPr>
            <a:t>Esta planilha foi desenvolvida</a:t>
          </a:r>
          <a:r>
            <a:rPr lang="pt-BR" sz="1100" baseline="0">
              <a:solidFill>
                <a:schemeClr val="bg1">
                  <a:lumMod val="65000"/>
                </a:schemeClr>
              </a:solidFill>
            </a:rPr>
            <a:t> por:</a:t>
          </a:r>
          <a:endParaRPr lang="pt-BR" sz="1100">
            <a:solidFill>
              <a:schemeClr val="bg1">
                <a:lumMod val="65000"/>
              </a:schemeClr>
            </a:solidFill>
          </a:endParaRPr>
        </a:p>
      </xdr:txBody>
    </xdr:sp>
    <xdr:clientData/>
  </xdr:oneCellAnchor>
  <xdr:twoCellAnchor editAs="absolute">
    <xdr:from>
      <xdr:col>17</xdr:col>
      <xdr:colOff>495300</xdr:colOff>
      <xdr:row>27</xdr:row>
      <xdr:rowOff>22860</xdr:rowOff>
    </xdr:from>
    <xdr:to>
      <xdr:col>21</xdr:col>
      <xdr:colOff>470180</xdr:colOff>
      <xdr:row>30</xdr:row>
      <xdr:rowOff>14220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A2C356AF-DF18-464E-9C9A-492762E38EF4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583" b="11100"/>
        <a:stretch/>
      </xdr:blipFill>
      <xdr:spPr bwMode="auto">
        <a:xfrm>
          <a:off x="10858500" y="4335780"/>
          <a:ext cx="2413280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551997</xdr:colOff>
      <xdr:row>27</xdr:row>
      <xdr:rowOff>106680</xdr:rowOff>
    </xdr:from>
    <xdr:to>
      <xdr:col>9</xdr:col>
      <xdr:colOff>396467</xdr:colOff>
      <xdr:row>30</xdr:row>
      <xdr:rowOff>31241</xdr:rowOff>
    </xdr:to>
    <xdr:grpSp>
      <xdr:nvGrpSpPr>
        <xdr:cNvPr id="9" name="Agrupar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EE73076-3939-4B4E-ADC3-45DB3F7C9AD1}"/>
            </a:ext>
          </a:extLst>
        </xdr:cNvPr>
        <xdr:cNvGrpSpPr/>
      </xdr:nvGrpSpPr>
      <xdr:grpSpPr>
        <a:xfrm>
          <a:off x="4247697" y="4456430"/>
          <a:ext cx="1692320" cy="477011"/>
          <a:chOff x="2685597" y="4343400"/>
          <a:chExt cx="1673270" cy="473201"/>
        </a:xfrm>
      </xdr:grpSpPr>
      <xdr:sp macro="" textlink="">
        <xdr:nvSpPr>
          <xdr:cNvPr id="10" name="CaixaDeTexto 9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D889947-5FDE-4FAE-9038-995A144FDDE6}"/>
              </a:ext>
            </a:extLst>
          </xdr:cNvPr>
          <xdr:cNvSpPr txBox="1"/>
        </xdr:nvSpPr>
        <xdr:spPr>
          <a:xfrm>
            <a:off x="2956560" y="4442460"/>
            <a:ext cx="1402307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800" b="1">
                <a:solidFill>
                  <a:schemeClr val="accent5">
                    <a:lumMod val="75000"/>
                  </a:schemeClr>
                </a:solidFill>
              </a:rPr>
              <a:t>INSTRUÇÕES</a:t>
            </a:r>
          </a:p>
        </xdr:txBody>
      </xdr:sp>
      <xdr:pic>
        <xdr:nvPicPr>
          <xdr:cNvPr id="11" name="Imagem 10">
            <a:extLst>
              <a:ext uri="{FF2B5EF4-FFF2-40B4-BE49-F238E27FC236}">
                <a16:creationId xmlns:a16="http://schemas.microsoft.com/office/drawing/2014/main" id="{DC713B25-292A-409C-B397-DE7B1E7562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685597" y="4343400"/>
            <a:ext cx="324303" cy="38100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160020</xdr:colOff>
      <xdr:row>27</xdr:row>
      <xdr:rowOff>83820</xdr:rowOff>
    </xdr:from>
    <xdr:to>
      <xdr:col>6</xdr:col>
      <xdr:colOff>327661</xdr:colOff>
      <xdr:row>30</xdr:row>
      <xdr:rowOff>35623</xdr:rowOff>
    </xdr:to>
    <xdr:grpSp>
      <xdr:nvGrpSpPr>
        <xdr:cNvPr id="12" name="Agrupar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AED6C47-AB95-4466-BBB8-663D89F6BDC7}"/>
            </a:ext>
          </a:extLst>
        </xdr:cNvPr>
        <xdr:cNvGrpSpPr/>
      </xdr:nvGrpSpPr>
      <xdr:grpSpPr>
        <a:xfrm>
          <a:off x="2623820" y="4433570"/>
          <a:ext cx="1399541" cy="504253"/>
          <a:chOff x="2598420" y="4323778"/>
          <a:chExt cx="1386841" cy="500443"/>
        </a:xfrm>
      </xdr:grpSpPr>
      <xdr:pic>
        <xdr:nvPicPr>
          <xdr:cNvPr id="13" name="Imagem 12" descr="Play Red Button transparent PNG - StickPNG">
            <a:extLst>
              <a:ext uri="{FF2B5EF4-FFF2-40B4-BE49-F238E27FC236}">
                <a16:creationId xmlns:a16="http://schemas.microsoft.com/office/drawing/2014/main" id="{5360BC62-1A7B-4ECA-9877-66161A0A763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598420" y="4323778"/>
            <a:ext cx="487680" cy="423208"/>
          </a:xfrm>
          <a:prstGeom prst="rect">
            <a:avLst/>
          </a:prstGeom>
          <a:solidFill>
            <a:srgbClr val="FFFFFF"/>
          </a:solidFill>
        </xdr:spPr>
      </xdr:pic>
      <xdr:sp macro="" textlink="">
        <xdr:nvSpPr>
          <xdr:cNvPr id="14" name="CaixaDeTexto 13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133F668-5A6E-4967-BAB6-58C5C96E413D}"/>
              </a:ext>
            </a:extLst>
          </xdr:cNvPr>
          <xdr:cNvSpPr txBox="1"/>
        </xdr:nvSpPr>
        <xdr:spPr>
          <a:xfrm>
            <a:off x="3063241" y="4450080"/>
            <a:ext cx="922020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800" b="1">
                <a:solidFill>
                  <a:schemeClr val="accent5">
                    <a:lumMod val="75000"/>
                  </a:schemeClr>
                </a:solidFill>
              </a:rPr>
              <a:t>INICIAR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102097</xdr:colOff>
      <xdr:row>10</xdr:row>
      <xdr:rowOff>15240</xdr:rowOff>
    </xdr:from>
    <xdr:to>
      <xdr:col>9</xdr:col>
      <xdr:colOff>462097</xdr:colOff>
      <xdr:row>10</xdr:row>
      <xdr:rowOff>375240</xdr:rowOff>
    </xdr:to>
    <xdr:pic macro="[0]!NovoCliente">
      <xdr:nvPicPr>
        <xdr:cNvPr id="11" name="Gráfico 10" descr="Adicionar">
          <a:extLst>
            <a:ext uri="{FF2B5EF4-FFF2-40B4-BE49-F238E27FC236}">
              <a16:creationId xmlns:a16="http://schemas.microsoft.com/office/drawing/2014/main" id="{D91ACE6F-243C-4F00-93F3-D3EAB4DE9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298937" y="1264920"/>
          <a:ext cx="360000" cy="360000"/>
        </a:xfrm>
        <a:prstGeom prst="rect">
          <a:avLst/>
        </a:prstGeom>
      </xdr:spPr>
    </xdr:pic>
    <xdr:clientData/>
  </xdr:twoCellAnchor>
  <xdr:twoCellAnchor editAs="absolute">
    <xdr:from>
      <xdr:col>11</xdr:col>
      <xdr:colOff>422139</xdr:colOff>
      <xdr:row>10</xdr:row>
      <xdr:rowOff>15240</xdr:rowOff>
    </xdr:from>
    <xdr:to>
      <xdr:col>12</xdr:col>
      <xdr:colOff>172539</xdr:colOff>
      <xdr:row>10</xdr:row>
      <xdr:rowOff>375240</xdr:rowOff>
    </xdr:to>
    <xdr:pic macro="[0]!LimparCliente">
      <xdr:nvPicPr>
        <xdr:cNvPr id="12" name="Gráfico 11" descr="Borracha">
          <a:extLst>
            <a:ext uri="{FF2B5EF4-FFF2-40B4-BE49-F238E27FC236}">
              <a16:creationId xmlns:a16="http://schemas.microsoft.com/office/drawing/2014/main" id="{08141C60-320A-47D0-993E-74099B8AD7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179" y="1264920"/>
          <a:ext cx="360000" cy="360000"/>
        </a:xfrm>
        <a:prstGeom prst="rect">
          <a:avLst/>
        </a:prstGeom>
      </xdr:spPr>
    </xdr:pic>
    <xdr:clientData/>
  </xdr:twoCellAnchor>
  <xdr:twoCellAnchor editAs="absolute">
    <xdr:from>
      <xdr:col>10</xdr:col>
      <xdr:colOff>262118</xdr:colOff>
      <xdr:row>10</xdr:row>
      <xdr:rowOff>22860</xdr:rowOff>
    </xdr:from>
    <xdr:to>
      <xdr:col>11</xdr:col>
      <xdr:colOff>12518</xdr:colOff>
      <xdr:row>10</xdr:row>
      <xdr:rowOff>382860</xdr:rowOff>
    </xdr:to>
    <xdr:pic macro="[0]!AlterarCliente">
      <xdr:nvPicPr>
        <xdr:cNvPr id="13" name="Gráfico 12" descr="Disco">
          <a:extLst>
            <a:ext uri="{FF2B5EF4-FFF2-40B4-BE49-F238E27FC236}">
              <a16:creationId xmlns:a16="http://schemas.microsoft.com/office/drawing/2014/main" id="{F74CE89E-CEC9-477D-A5AA-DFFC58DA8D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068558" y="1272540"/>
          <a:ext cx="360000" cy="360000"/>
        </a:xfrm>
        <a:prstGeom prst="rect">
          <a:avLst/>
        </a:prstGeom>
      </xdr:spPr>
    </xdr:pic>
    <xdr:clientData/>
  </xdr:twoCellAnchor>
  <xdr:twoCellAnchor editAs="absolute">
    <xdr:from>
      <xdr:col>12</xdr:col>
      <xdr:colOff>582159</xdr:colOff>
      <xdr:row>10</xdr:row>
      <xdr:rowOff>7620</xdr:rowOff>
    </xdr:from>
    <xdr:to>
      <xdr:col>13</xdr:col>
      <xdr:colOff>332559</xdr:colOff>
      <xdr:row>10</xdr:row>
      <xdr:rowOff>367620</xdr:rowOff>
    </xdr:to>
    <xdr:pic macro="[0]!PesquisarCliente">
      <xdr:nvPicPr>
        <xdr:cNvPr id="14" name="Gráfico 13" descr="Pesquisa de Pasta">
          <a:extLst>
            <a:ext uri="{FF2B5EF4-FFF2-40B4-BE49-F238E27FC236}">
              <a16:creationId xmlns:a16="http://schemas.microsoft.com/office/drawing/2014/main" id="{91BCCCF1-421A-4259-B131-FE1E764A95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07799" y="1257300"/>
          <a:ext cx="360000" cy="360000"/>
        </a:xfrm>
        <a:prstGeom prst="rect">
          <a:avLst/>
        </a:prstGeom>
      </xdr:spPr>
    </xdr:pic>
    <xdr:clientData/>
  </xdr:twoCellAnchor>
  <xdr:twoCellAnchor editAs="absolute">
    <xdr:from>
      <xdr:col>9</xdr:col>
      <xdr:colOff>22860</xdr:colOff>
      <xdr:row>10</xdr:row>
      <xdr:rowOff>304800</xdr:rowOff>
    </xdr:from>
    <xdr:to>
      <xdr:col>9</xdr:col>
      <xdr:colOff>541335</xdr:colOff>
      <xdr:row>11</xdr:row>
      <xdr:rowOff>50731</xdr:rowOff>
    </xdr:to>
    <xdr:sp macro="[0]!NovoCliente" textlink="">
      <xdr:nvSpPr>
        <xdr:cNvPr id="15" name="CaixaDeTexto 14">
          <a:extLst>
            <a:ext uri="{FF2B5EF4-FFF2-40B4-BE49-F238E27FC236}">
              <a16:creationId xmlns:a16="http://schemas.microsoft.com/office/drawing/2014/main" id="{B7E0A73A-8B3B-4043-AFE1-E83CDAC9008E}"/>
            </a:ext>
          </a:extLst>
        </xdr:cNvPr>
        <xdr:cNvSpPr txBox="1"/>
      </xdr:nvSpPr>
      <xdr:spPr>
        <a:xfrm>
          <a:off x="5219700" y="1554480"/>
          <a:ext cx="518475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pt-BR" sz="1000" b="1">
              <a:solidFill>
                <a:schemeClr val="bg1"/>
              </a:solidFill>
            </a:rPr>
            <a:t>NOVO</a:t>
          </a:r>
        </a:p>
      </xdr:txBody>
    </xdr:sp>
    <xdr:clientData/>
  </xdr:twoCellAnchor>
  <xdr:twoCellAnchor editAs="absolute">
    <xdr:from>
      <xdr:col>11</xdr:col>
      <xdr:colOff>277625</xdr:colOff>
      <xdr:row>10</xdr:row>
      <xdr:rowOff>312420</xdr:rowOff>
    </xdr:from>
    <xdr:to>
      <xdr:col>12</xdr:col>
      <xdr:colOff>271331</xdr:colOff>
      <xdr:row>11</xdr:row>
      <xdr:rowOff>58351</xdr:rowOff>
    </xdr:to>
    <xdr:sp macro="[0]!LimparCliente" textlink="">
      <xdr:nvSpPr>
        <xdr:cNvPr id="16" name="CaixaDeTexto 15">
          <a:extLst>
            <a:ext uri="{FF2B5EF4-FFF2-40B4-BE49-F238E27FC236}">
              <a16:creationId xmlns:a16="http://schemas.microsoft.com/office/drawing/2014/main" id="{6575A9CD-84E2-4CDE-82DA-0890CE185676}"/>
            </a:ext>
          </a:extLst>
        </xdr:cNvPr>
        <xdr:cNvSpPr txBox="1"/>
      </xdr:nvSpPr>
      <xdr:spPr>
        <a:xfrm>
          <a:off x="6693665" y="1562100"/>
          <a:ext cx="603306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pt-BR" sz="1000" b="1">
              <a:solidFill>
                <a:schemeClr val="bg1"/>
              </a:solidFill>
            </a:rPr>
            <a:t>LIMPAR</a:t>
          </a:r>
        </a:p>
      </xdr:txBody>
    </xdr:sp>
    <xdr:clientData/>
  </xdr:twoCellAnchor>
  <xdr:twoCellAnchor editAs="absolute">
    <xdr:from>
      <xdr:col>10</xdr:col>
      <xdr:colOff>133006</xdr:colOff>
      <xdr:row>10</xdr:row>
      <xdr:rowOff>304800</xdr:rowOff>
    </xdr:from>
    <xdr:to>
      <xdr:col>11</xdr:col>
      <xdr:colOff>126392</xdr:colOff>
      <xdr:row>11</xdr:row>
      <xdr:rowOff>50731</xdr:rowOff>
    </xdr:to>
    <xdr:sp macro="[0]!AlterarCliente" textlink="">
      <xdr:nvSpPr>
        <xdr:cNvPr id="17" name="CaixaDeTexto 16">
          <a:extLst>
            <a:ext uri="{FF2B5EF4-FFF2-40B4-BE49-F238E27FC236}">
              <a16:creationId xmlns:a16="http://schemas.microsoft.com/office/drawing/2014/main" id="{3B60B518-330B-45D9-8B5A-F9D803313B5B}"/>
            </a:ext>
          </a:extLst>
        </xdr:cNvPr>
        <xdr:cNvSpPr txBox="1"/>
      </xdr:nvSpPr>
      <xdr:spPr>
        <a:xfrm>
          <a:off x="5939446" y="1554480"/>
          <a:ext cx="602986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pt-BR" sz="1000" b="1">
              <a:solidFill>
                <a:schemeClr val="bg1"/>
              </a:solidFill>
            </a:rPr>
            <a:t>SALVAR</a:t>
          </a:r>
        </a:p>
      </xdr:txBody>
    </xdr:sp>
    <xdr:clientData/>
  </xdr:twoCellAnchor>
  <xdr:twoCellAnchor editAs="absolute">
    <xdr:from>
      <xdr:col>12</xdr:col>
      <xdr:colOff>366159</xdr:colOff>
      <xdr:row>10</xdr:row>
      <xdr:rowOff>304800</xdr:rowOff>
    </xdr:from>
    <xdr:to>
      <xdr:col>13</xdr:col>
      <xdr:colOff>548559</xdr:colOff>
      <xdr:row>11</xdr:row>
      <xdr:rowOff>50731</xdr:rowOff>
    </xdr:to>
    <xdr:sp macro="[0]!PesquisarCliente" textlink="">
      <xdr:nvSpPr>
        <xdr:cNvPr id="18" name="CaixaDeTexto 17">
          <a:extLst>
            <a:ext uri="{FF2B5EF4-FFF2-40B4-BE49-F238E27FC236}">
              <a16:creationId xmlns:a16="http://schemas.microsoft.com/office/drawing/2014/main" id="{6CB9943B-8959-46A4-80BA-BAACD168EACC}"/>
            </a:ext>
          </a:extLst>
        </xdr:cNvPr>
        <xdr:cNvSpPr txBox="1"/>
      </xdr:nvSpPr>
      <xdr:spPr>
        <a:xfrm>
          <a:off x="7391799" y="1554480"/>
          <a:ext cx="792000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pt-BR" sz="1000" b="1">
              <a:solidFill>
                <a:schemeClr val="bg1"/>
              </a:solidFill>
            </a:rPr>
            <a:t>PESQUISAR</a:t>
          </a:r>
        </a:p>
      </xdr:txBody>
    </xdr:sp>
    <xdr:clientData/>
  </xdr:twoCellAnchor>
  <xdr:oneCellAnchor>
    <xdr:from>
      <xdr:col>3</xdr:col>
      <xdr:colOff>533400</xdr:colOff>
      <xdr:row>0</xdr:row>
      <xdr:rowOff>0</xdr:rowOff>
    </xdr:from>
    <xdr:ext cx="6278880" cy="571500"/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D6B55A08-FA89-4D07-8231-79A320E0C08B}"/>
            </a:ext>
          </a:extLst>
        </xdr:cNvPr>
        <xdr:cNvSpPr txBox="1"/>
      </xdr:nvSpPr>
      <xdr:spPr>
        <a:xfrm>
          <a:off x="2072640" y="0"/>
          <a:ext cx="627888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Controle de Estoque </a:t>
          </a:r>
          <a:r>
            <a:rPr lang="pt-BR" sz="2400" b="1">
              <a:solidFill>
                <a:schemeClr val="accent2"/>
              </a:solidFill>
            </a:rPr>
            <a:t>| Cadastro</a:t>
          </a:r>
          <a:r>
            <a:rPr lang="pt-BR" sz="2400" b="1" baseline="0">
              <a:solidFill>
                <a:schemeClr val="accent2"/>
              </a:solidFill>
            </a:rPr>
            <a:t> de Clientes</a:t>
          </a:r>
          <a:endParaRPr lang="pt-BR" sz="2400" b="1">
            <a:solidFill>
              <a:schemeClr val="accent2"/>
            </a:solidFill>
          </a:endParaRPr>
        </a:p>
      </xdr:txBody>
    </xdr:sp>
    <xdr:clientData/>
  </xdr:oneCellAnchor>
  <xdr:twoCellAnchor editAs="absolute">
    <xdr:from>
      <xdr:col>1</xdr:col>
      <xdr:colOff>38100</xdr:colOff>
      <xdr:row>8</xdr:row>
      <xdr:rowOff>38100</xdr:rowOff>
    </xdr:from>
    <xdr:to>
      <xdr:col>1</xdr:col>
      <xdr:colOff>470100</xdr:colOff>
      <xdr:row>8</xdr:row>
      <xdr:rowOff>304500</xdr:rowOff>
    </xdr:to>
    <xdr:sp macro="" textlink="">
      <xdr:nvSpPr>
        <xdr:cNvPr id="20" name="Seta: para a Direita 1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AA54C9DA-5528-4BC4-9A94-BCDB82273027}"/>
            </a:ext>
          </a:extLst>
        </xdr:cNvPr>
        <xdr:cNvSpPr/>
      </xdr:nvSpPr>
      <xdr:spPr>
        <a:xfrm flipH="1">
          <a:off x="228600" y="79248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411479</xdr:colOff>
      <xdr:row>3</xdr:row>
      <xdr:rowOff>9360</xdr:rowOff>
    </xdr:to>
    <xdr:pic>
      <xdr:nvPicPr>
        <xdr:cNvPr id="21" name="Imagem 2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DB82EF23-85D7-45A5-A6F2-6078A1686C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556260</xdr:colOff>
      <xdr:row>8</xdr:row>
      <xdr:rowOff>38100</xdr:rowOff>
    </xdr:from>
    <xdr:to>
      <xdr:col>3</xdr:col>
      <xdr:colOff>539520</xdr:colOff>
      <xdr:row>8</xdr:row>
      <xdr:rowOff>302660</xdr:rowOff>
    </xdr:to>
    <xdr:sp macro="" textlink="">
      <xdr:nvSpPr>
        <xdr:cNvPr id="22" name="CaixaDeTexto 2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2237A7C-BA4A-4C7D-B865-330BE88D5B27}"/>
            </a:ext>
          </a:extLst>
        </xdr:cNvPr>
        <xdr:cNvSpPr txBox="1"/>
      </xdr:nvSpPr>
      <xdr:spPr>
        <a:xfrm>
          <a:off x="746760" y="792480"/>
          <a:ext cx="1332000" cy="264560"/>
        </a:xfrm>
        <a:prstGeom prst="rect">
          <a:avLst/>
        </a:prstGeom>
        <a:solidFill>
          <a:schemeClr val="accent5">
            <a:lumMod val="75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bg1"/>
              </a:solidFill>
            </a:rPr>
            <a:t>Clientes</a:t>
          </a:r>
        </a:p>
      </xdr:txBody>
    </xdr:sp>
    <xdr:clientData/>
  </xdr:twoCellAnchor>
  <xdr:twoCellAnchor editAs="absolute">
    <xdr:from>
      <xdr:col>4</xdr:col>
      <xdr:colOff>3810</xdr:colOff>
      <xdr:row>8</xdr:row>
      <xdr:rowOff>38100</xdr:rowOff>
    </xdr:from>
    <xdr:to>
      <xdr:col>6</xdr:col>
      <xdr:colOff>97560</xdr:colOff>
      <xdr:row>8</xdr:row>
      <xdr:rowOff>302660</xdr:rowOff>
    </xdr:to>
    <xdr:sp macro="" textlink="">
      <xdr:nvSpPr>
        <xdr:cNvPr id="23" name="CaixaDeTexto 2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1D70155D-53AB-4065-A117-31EF60382CF2}"/>
            </a:ext>
          </a:extLst>
        </xdr:cNvPr>
        <xdr:cNvSpPr txBox="1"/>
      </xdr:nvSpPr>
      <xdr:spPr>
        <a:xfrm>
          <a:off x="2133600" y="79248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Produtos</a:t>
          </a:r>
        </a:p>
      </xdr:txBody>
    </xdr:sp>
    <xdr:clientData/>
  </xdr:twoCellAnchor>
  <xdr:twoCellAnchor editAs="absolute">
    <xdr:from>
      <xdr:col>6</xdr:col>
      <xdr:colOff>160020</xdr:colOff>
      <xdr:row>8</xdr:row>
      <xdr:rowOff>38100</xdr:rowOff>
    </xdr:from>
    <xdr:to>
      <xdr:col>8</xdr:col>
      <xdr:colOff>272820</xdr:colOff>
      <xdr:row>8</xdr:row>
      <xdr:rowOff>302660</xdr:rowOff>
    </xdr:to>
    <xdr:sp macro="" textlink="">
      <xdr:nvSpPr>
        <xdr:cNvPr id="24" name="CaixaDeTexto 2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9896DC4C-1EFB-4BB4-A569-6CB5EF8B62E8}"/>
            </a:ext>
          </a:extLst>
        </xdr:cNvPr>
        <xdr:cNvSpPr txBox="1"/>
      </xdr:nvSpPr>
      <xdr:spPr>
        <a:xfrm>
          <a:off x="3528060" y="79248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Vendas</a:t>
          </a:r>
        </a:p>
      </xdr:txBody>
    </xdr:sp>
    <xdr:clientData/>
  </xdr:twoCellAnchor>
  <xdr:twoCellAnchor editAs="absolute">
    <xdr:from>
      <xdr:col>8</xdr:col>
      <xdr:colOff>327660</xdr:colOff>
      <xdr:row>8</xdr:row>
      <xdr:rowOff>30480</xdr:rowOff>
    </xdr:from>
    <xdr:to>
      <xdr:col>10</xdr:col>
      <xdr:colOff>440460</xdr:colOff>
      <xdr:row>8</xdr:row>
      <xdr:rowOff>295040</xdr:rowOff>
    </xdr:to>
    <xdr:sp macro="" textlink="">
      <xdr:nvSpPr>
        <xdr:cNvPr id="25" name="CaixaDeTexto 2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E65D06D2-FEF4-49D4-A8DF-1D126E532CF1}"/>
            </a:ext>
          </a:extLst>
        </xdr:cNvPr>
        <xdr:cNvSpPr txBox="1"/>
      </xdr:nvSpPr>
      <xdr:spPr>
        <a:xfrm>
          <a:off x="4914900" y="78486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15240</xdr:colOff>
      <xdr:row>21</xdr:row>
      <xdr:rowOff>129540</xdr:rowOff>
    </xdr:from>
    <xdr:ext cx="8122920" cy="264560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6964C5E9-4B43-469F-B68F-4538D99AD60C}"/>
            </a:ext>
          </a:extLst>
        </xdr:cNvPr>
        <xdr:cNvSpPr txBox="1"/>
      </xdr:nvSpPr>
      <xdr:spPr>
        <a:xfrm>
          <a:off x="205740" y="3710940"/>
          <a:ext cx="8122920" cy="264560"/>
        </a:xfrm>
        <a:prstGeom prst="rect">
          <a:avLst/>
        </a:prstGeom>
        <a:gradFill flip="none" rotWithShape="1">
          <a:gsLst>
            <a:gs pos="0">
              <a:schemeClr val="accent5">
                <a:lumMod val="50000"/>
              </a:schemeClr>
            </a:gs>
            <a:gs pos="36000">
              <a:schemeClr val="accent1">
                <a:lumMod val="45000"/>
                <a:lumOff val="55000"/>
              </a:schemeClr>
            </a:gs>
            <a:gs pos="90000">
              <a:schemeClr val="accent3">
                <a:lumMod val="20000"/>
                <a:lumOff val="80000"/>
              </a:schemeClr>
            </a:gs>
          </a:gsLst>
          <a:lin ang="0" scaled="1"/>
          <a:tileRect/>
        </a:gra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100" b="1">
              <a:solidFill>
                <a:schemeClr val="bg1"/>
              </a:solidFill>
            </a:rPr>
            <a:t>Inserir</a:t>
          </a:r>
          <a:r>
            <a:rPr lang="pt-BR" sz="1100" b="1" baseline="0">
              <a:solidFill>
                <a:schemeClr val="bg1"/>
              </a:solidFill>
            </a:rPr>
            <a:t> Estoque</a:t>
          </a:r>
          <a:endParaRPr lang="pt-BR" sz="1100" b="1">
            <a:solidFill>
              <a:schemeClr val="bg1"/>
            </a:solidFill>
          </a:endParaRPr>
        </a:p>
      </xdr:txBody>
    </xdr:sp>
    <xdr:clientData/>
  </xdr:oneCellAnchor>
  <xdr:twoCellAnchor editAs="absolute">
    <xdr:from>
      <xdr:col>4</xdr:col>
      <xdr:colOff>22860</xdr:colOff>
      <xdr:row>23</xdr:row>
      <xdr:rowOff>68580</xdr:rowOff>
    </xdr:from>
    <xdr:to>
      <xdr:col>5</xdr:col>
      <xdr:colOff>3810</xdr:colOff>
      <xdr:row>25</xdr:row>
      <xdr:rowOff>106680</xdr:rowOff>
    </xdr:to>
    <xdr:sp macro="[0]!InserirEstoque" textlink="">
      <xdr:nvSpPr>
        <xdr:cNvPr id="12" name="Retângulo 11">
          <a:extLst>
            <a:ext uri="{FF2B5EF4-FFF2-40B4-BE49-F238E27FC236}">
              <a16:creationId xmlns:a16="http://schemas.microsoft.com/office/drawing/2014/main" id="{060FD6F5-20E2-49DA-B05C-668A5D20D2A3}"/>
            </a:ext>
          </a:extLst>
        </xdr:cNvPr>
        <xdr:cNvSpPr/>
      </xdr:nvSpPr>
      <xdr:spPr>
        <a:xfrm>
          <a:off x="2217420" y="4015740"/>
          <a:ext cx="571500" cy="403860"/>
        </a:xfrm>
        <a:prstGeom prst="rect">
          <a:avLst/>
        </a:prstGeom>
        <a:blipFill dpi="0" rotWithShape="1"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LocksWithSheet="0"/>
  </xdr:twoCellAnchor>
  <xdr:oneCellAnchor>
    <xdr:from>
      <xdr:col>3</xdr:col>
      <xdr:colOff>533400</xdr:colOff>
      <xdr:row>0</xdr:row>
      <xdr:rowOff>0</xdr:rowOff>
    </xdr:from>
    <xdr:ext cx="6278880" cy="571500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C78A9547-89E6-4879-B33B-F1B7C5124226}"/>
            </a:ext>
          </a:extLst>
        </xdr:cNvPr>
        <xdr:cNvSpPr txBox="1"/>
      </xdr:nvSpPr>
      <xdr:spPr>
        <a:xfrm>
          <a:off x="2072640" y="0"/>
          <a:ext cx="627888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Controle de Estoque </a:t>
          </a:r>
          <a:r>
            <a:rPr lang="pt-BR" sz="2400" b="1">
              <a:solidFill>
                <a:schemeClr val="accent2"/>
              </a:solidFill>
            </a:rPr>
            <a:t>| Cadastro</a:t>
          </a:r>
          <a:r>
            <a:rPr lang="pt-BR" sz="2400" b="1" baseline="0">
              <a:solidFill>
                <a:schemeClr val="accent2"/>
              </a:solidFill>
            </a:rPr>
            <a:t> de Produtos</a:t>
          </a:r>
          <a:endParaRPr lang="pt-BR" sz="2400" b="1">
            <a:solidFill>
              <a:schemeClr val="accent2"/>
            </a:solidFill>
          </a:endParaRPr>
        </a:p>
      </xdr:txBody>
    </xdr:sp>
    <xdr:clientData/>
  </xdr:oneCellAnchor>
  <xdr:twoCellAnchor editAs="oneCell">
    <xdr:from>
      <xdr:col>0</xdr:col>
      <xdr:colOff>0</xdr:colOff>
      <xdr:row>0</xdr:row>
      <xdr:rowOff>0</xdr:rowOff>
    </xdr:from>
    <xdr:to>
      <xdr:col>3</xdr:col>
      <xdr:colOff>365759</xdr:colOff>
      <xdr:row>3</xdr:row>
      <xdr:rowOff>9360</xdr:rowOff>
    </xdr:to>
    <xdr:pic>
      <xdr:nvPicPr>
        <xdr:cNvPr id="15" name="Imagem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B555D12-5ABB-470F-845C-204960621E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38100</xdr:colOff>
      <xdr:row>8</xdr:row>
      <xdr:rowOff>38100</xdr:rowOff>
    </xdr:from>
    <xdr:to>
      <xdr:col>1</xdr:col>
      <xdr:colOff>470100</xdr:colOff>
      <xdr:row>8</xdr:row>
      <xdr:rowOff>304500</xdr:rowOff>
    </xdr:to>
    <xdr:sp macro="" textlink="">
      <xdr:nvSpPr>
        <xdr:cNvPr id="16" name="Seta: para a Direita 1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CFA045E-833B-4960-AE3C-4A7C72C4B25C}"/>
            </a:ext>
          </a:extLst>
        </xdr:cNvPr>
        <xdr:cNvSpPr/>
      </xdr:nvSpPr>
      <xdr:spPr>
        <a:xfrm flipH="1">
          <a:off x="228600" y="79248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563880</xdr:colOff>
      <xdr:row>8</xdr:row>
      <xdr:rowOff>45720</xdr:rowOff>
    </xdr:from>
    <xdr:to>
      <xdr:col>3</xdr:col>
      <xdr:colOff>501420</xdr:colOff>
      <xdr:row>8</xdr:row>
      <xdr:rowOff>310280</xdr:rowOff>
    </xdr:to>
    <xdr:sp macro="" textlink="">
      <xdr:nvSpPr>
        <xdr:cNvPr id="17" name="CaixaDeTexto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1072FA0-2BAA-4E42-80FE-13DA339B811B}"/>
            </a:ext>
          </a:extLst>
        </xdr:cNvPr>
        <xdr:cNvSpPr txBox="1"/>
      </xdr:nvSpPr>
      <xdr:spPr>
        <a:xfrm>
          <a:off x="754380" y="80010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pt-BR" sz="1100" b="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rPr>
            <a:t>Clientes</a:t>
          </a:r>
        </a:p>
      </xdr:txBody>
    </xdr:sp>
    <xdr:clientData/>
  </xdr:twoCellAnchor>
  <xdr:twoCellAnchor editAs="absolute">
    <xdr:from>
      <xdr:col>3</xdr:col>
      <xdr:colOff>556260</xdr:colOff>
      <xdr:row>8</xdr:row>
      <xdr:rowOff>45720</xdr:rowOff>
    </xdr:from>
    <xdr:to>
      <xdr:col>6</xdr:col>
      <xdr:colOff>59460</xdr:colOff>
      <xdr:row>8</xdr:row>
      <xdr:rowOff>310280</xdr:rowOff>
    </xdr:to>
    <xdr:sp macro="" textlink="">
      <xdr:nvSpPr>
        <xdr:cNvPr id="18" name="CaixaDeTexto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3BF4D0-8D47-45C2-B61C-9B5E4BB7BF95}"/>
            </a:ext>
          </a:extLst>
        </xdr:cNvPr>
        <xdr:cNvSpPr txBox="1"/>
      </xdr:nvSpPr>
      <xdr:spPr>
        <a:xfrm>
          <a:off x="2141220" y="800100"/>
          <a:ext cx="1332000" cy="264560"/>
        </a:xfrm>
        <a:prstGeom prst="rect">
          <a:avLst/>
        </a:prstGeom>
        <a:solidFill>
          <a:schemeClr val="accent5">
            <a:lumMod val="75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pt-BR" sz="1100" b="0">
              <a:solidFill>
                <a:schemeClr val="bg1"/>
              </a:solidFill>
              <a:latin typeface="+mn-lt"/>
              <a:ea typeface="+mn-ea"/>
              <a:cs typeface="+mn-cs"/>
            </a:rPr>
            <a:t>Produtos</a:t>
          </a:r>
        </a:p>
      </xdr:txBody>
    </xdr:sp>
    <xdr:clientData/>
  </xdr:twoCellAnchor>
  <xdr:twoCellAnchor editAs="absolute">
    <xdr:from>
      <xdr:col>6</xdr:col>
      <xdr:colOff>121920</xdr:colOff>
      <xdr:row>8</xdr:row>
      <xdr:rowOff>45720</xdr:rowOff>
    </xdr:from>
    <xdr:to>
      <xdr:col>8</xdr:col>
      <xdr:colOff>234720</xdr:colOff>
      <xdr:row>8</xdr:row>
      <xdr:rowOff>310280</xdr:rowOff>
    </xdr:to>
    <xdr:sp macro="" textlink="">
      <xdr:nvSpPr>
        <xdr:cNvPr id="19" name="CaixaDeTexto 1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4F35BB1-08E3-46E4-BC3A-0622DBECE6B0}"/>
            </a:ext>
          </a:extLst>
        </xdr:cNvPr>
        <xdr:cNvSpPr txBox="1"/>
      </xdr:nvSpPr>
      <xdr:spPr>
        <a:xfrm>
          <a:off x="3535680" y="80010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Vendas</a:t>
          </a:r>
        </a:p>
      </xdr:txBody>
    </xdr:sp>
    <xdr:clientData/>
  </xdr:twoCellAnchor>
  <xdr:twoCellAnchor editAs="absolute">
    <xdr:from>
      <xdr:col>8</xdr:col>
      <xdr:colOff>289560</xdr:colOff>
      <xdr:row>8</xdr:row>
      <xdr:rowOff>38100</xdr:rowOff>
    </xdr:from>
    <xdr:to>
      <xdr:col>10</xdr:col>
      <xdr:colOff>402360</xdr:colOff>
      <xdr:row>8</xdr:row>
      <xdr:rowOff>302660</xdr:rowOff>
    </xdr:to>
    <xdr:sp macro="" textlink="">
      <xdr:nvSpPr>
        <xdr:cNvPr id="20" name="CaixaDeTexto 1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36F4E6E-B977-4126-87BF-1F7009902967}"/>
            </a:ext>
          </a:extLst>
        </xdr:cNvPr>
        <xdr:cNvSpPr txBox="1"/>
      </xdr:nvSpPr>
      <xdr:spPr>
        <a:xfrm>
          <a:off x="4922520" y="79248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</a:t>
          </a:r>
        </a:p>
      </xdr:txBody>
    </xdr:sp>
    <xdr:clientData/>
  </xdr:twoCellAnchor>
  <xdr:twoCellAnchor editAs="absolute">
    <xdr:from>
      <xdr:col>9</xdr:col>
      <xdr:colOff>185917</xdr:colOff>
      <xdr:row>10</xdr:row>
      <xdr:rowOff>0</xdr:rowOff>
    </xdr:from>
    <xdr:to>
      <xdr:col>9</xdr:col>
      <xdr:colOff>545917</xdr:colOff>
      <xdr:row>10</xdr:row>
      <xdr:rowOff>360000</xdr:rowOff>
    </xdr:to>
    <xdr:pic macro="[0]!NovoProd">
      <xdr:nvPicPr>
        <xdr:cNvPr id="21" name="Gráfico 20" descr="Adicionar">
          <a:extLst>
            <a:ext uri="{FF2B5EF4-FFF2-40B4-BE49-F238E27FC236}">
              <a16:creationId xmlns:a16="http://schemas.microsoft.com/office/drawing/2014/main" id="{B6ADBCA2-2490-40CB-9DCC-01C024023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428477" y="1249680"/>
          <a:ext cx="360000" cy="360000"/>
        </a:xfrm>
        <a:prstGeom prst="rect">
          <a:avLst/>
        </a:prstGeom>
      </xdr:spPr>
    </xdr:pic>
    <xdr:clientData/>
  </xdr:twoCellAnchor>
  <xdr:twoCellAnchor editAs="absolute">
    <xdr:from>
      <xdr:col>11</xdr:col>
      <xdr:colOff>505959</xdr:colOff>
      <xdr:row>10</xdr:row>
      <xdr:rowOff>0</xdr:rowOff>
    </xdr:from>
    <xdr:to>
      <xdr:col>12</xdr:col>
      <xdr:colOff>256359</xdr:colOff>
      <xdr:row>10</xdr:row>
      <xdr:rowOff>360000</xdr:rowOff>
    </xdr:to>
    <xdr:pic macro="[0]!LimparProd">
      <xdr:nvPicPr>
        <xdr:cNvPr id="22" name="Gráfico 21" descr="Borracha">
          <a:extLst>
            <a:ext uri="{FF2B5EF4-FFF2-40B4-BE49-F238E27FC236}">
              <a16:creationId xmlns:a16="http://schemas.microsoft.com/office/drawing/2014/main" id="{6EA96AA6-0036-420A-9D19-C98280B311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967719" y="1249680"/>
          <a:ext cx="360000" cy="360000"/>
        </a:xfrm>
        <a:prstGeom prst="rect">
          <a:avLst/>
        </a:prstGeom>
      </xdr:spPr>
    </xdr:pic>
    <xdr:clientData/>
  </xdr:twoCellAnchor>
  <xdr:twoCellAnchor editAs="absolute">
    <xdr:from>
      <xdr:col>10</xdr:col>
      <xdr:colOff>345938</xdr:colOff>
      <xdr:row>10</xdr:row>
      <xdr:rowOff>7620</xdr:rowOff>
    </xdr:from>
    <xdr:to>
      <xdr:col>11</xdr:col>
      <xdr:colOff>96338</xdr:colOff>
      <xdr:row>10</xdr:row>
      <xdr:rowOff>367620</xdr:rowOff>
    </xdr:to>
    <xdr:pic macro="[0]!AlterarProd">
      <xdr:nvPicPr>
        <xdr:cNvPr id="23" name="Gráfico 22" descr="Disco">
          <a:extLst>
            <a:ext uri="{FF2B5EF4-FFF2-40B4-BE49-F238E27FC236}">
              <a16:creationId xmlns:a16="http://schemas.microsoft.com/office/drawing/2014/main" id="{583C735E-AFF3-489F-8070-FFF3F245B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198098" y="1257300"/>
          <a:ext cx="360000" cy="360000"/>
        </a:xfrm>
        <a:prstGeom prst="rect">
          <a:avLst/>
        </a:prstGeom>
      </xdr:spPr>
    </xdr:pic>
    <xdr:clientData/>
  </xdr:twoCellAnchor>
  <xdr:twoCellAnchor editAs="absolute">
    <xdr:from>
      <xdr:col>13</xdr:col>
      <xdr:colOff>56379</xdr:colOff>
      <xdr:row>9</xdr:row>
      <xdr:rowOff>175260</xdr:rowOff>
    </xdr:from>
    <xdr:to>
      <xdr:col>13</xdr:col>
      <xdr:colOff>416379</xdr:colOff>
      <xdr:row>10</xdr:row>
      <xdr:rowOff>352380</xdr:rowOff>
    </xdr:to>
    <xdr:pic macro="[0]!PesquisarProd">
      <xdr:nvPicPr>
        <xdr:cNvPr id="24" name="Gráfico 23" descr="Pesquisa de Pasta">
          <a:extLst>
            <a:ext uri="{FF2B5EF4-FFF2-40B4-BE49-F238E27FC236}">
              <a16:creationId xmlns:a16="http://schemas.microsoft.com/office/drawing/2014/main" id="{892A7FB2-8B8B-4065-8080-9E4A04F95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737339" y="1242060"/>
          <a:ext cx="360000" cy="360000"/>
        </a:xfrm>
        <a:prstGeom prst="rect">
          <a:avLst/>
        </a:prstGeom>
      </xdr:spPr>
    </xdr:pic>
    <xdr:clientData/>
  </xdr:twoCellAnchor>
  <xdr:twoCellAnchor editAs="absolute">
    <xdr:from>
      <xdr:col>9</xdr:col>
      <xdr:colOff>106680</xdr:colOff>
      <xdr:row>10</xdr:row>
      <xdr:rowOff>289560</xdr:rowOff>
    </xdr:from>
    <xdr:to>
      <xdr:col>10</xdr:col>
      <xdr:colOff>15555</xdr:colOff>
      <xdr:row>11</xdr:row>
      <xdr:rowOff>35491</xdr:rowOff>
    </xdr:to>
    <xdr:sp macro="[0]!NovoProd" textlink="">
      <xdr:nvSpPr>
        <xdr:cNvPr id="25" name="CaixaDeTexto 24">
          <a:extLst>
            <a:ext uri="{FF2B5EF4-FFF2-40B4-BE49-F238E27FC236}">
              <a16:creationId xmlns:a16="http://schemas.microsoft.com/office/drawing/2014/main" id="{AEA6A318-8583-4935-8093-F7B20EC678F2}"/>
            </a:ext>
          </a:extLst>
        </xdr:cNvPr>
        <xdr:cNvSpPr txBox="1"/>
      </xdr:nvSpPr>
      <xdr:spPr>
        <a:xfrm>
          <a:off x="5349240" y="1539240"/>
          <a:ext cx="518475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pt-BR" sz="1000" b="1">
              <a:solidFill>
                <a:schemeClr val="bg1"/>
              </a:solidFill>
            </a:rPr>
            <a:t>NOVO</a:t>
          </a:r>
        </a:p>
      </xdr:txBody>
    </xdr:sp>
    <xdr:clientData/>
  </xdr:twoCellAnchor>
  <xdr:twoCellAnchor editAs="absolute">
    <xdr:from>
      <xdr:col>11</xdr:col>
      <xdr:colOff>361445</xdr:colOff>
      <xdr:row>10</xdr:row>
      <xdr:rowOff>297180</xdr:rowOff>
    </xdr:from>
    <xdr:to>
      <xdr:col>12</xdr:col>
      <xdr:colOff>355151</xdr:colOff>
      <xdr:row>11</xdr:row>
      <xdr:rowOff>43111</xdr:rowOff>
    </xdr:to>
    <xdr:sp macro="[0]!LimparProd" textlink="">
      <xdr:nvSpPr>
        <xdr:cNvPr id="26" name="CaixaDeTexto 25">
          <a:extLst>
            <a:ext uri="{FF2B5EF4-FFF2-40B4-BE49-F238E27FC236}">
              <a16:creationId xmlns:a16="http://schemas.microsoft.com/office/drawing/2014/main" id="{08FC9F1D-2812-4732-B69C-DD647EB8E97E}"/>
            </a:ext>
          </a:extLst>
        </xdr:cNvPr>
        <xdr:cNvSpPr txBox="1"/>
      </xdr:nvSpPr>
      <xdr:spPr>
        <a:xfrm>
          <a:off x="6823205" y="1546860"/>
          <a:ext cx="603306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pt-BR" sz="1000" b="1">
              <a:solidFill>
                <a:schemeClr val="bg1"/>
              </a:solidFill>
            </a:rPr>
            <a:t>LIMPAR</a:t>
          </a:r>
        </a:p>
      </xdr:txBody>
    </xdr:sp>
    <xdr:clientData/>
  </xdr:twoCellAnchor>
  <xdr:twoCellAnchor editAs="absolute">
    <xdr:from>
      <xdr:col>10</xdr:col>
      <xdr:colOff>216826</xdr:colOff>
      <xdr:row>10</xdr:row>
      <xdr:rowOff>289560</xdr:rowOff>
    </xdr:from>
    <xdr:to>
      <xdr:col>11</xdr:col>
      <xdr:colOff>210212</xdr:colOff>
      <xdr:row>11</xdr:row>
      <xdr:rowOff>35491</xdr:rowOff>
    </xdr:to>
    <xdr:sp macro="[0]!AlterarProd" textlink="">
      <xdr:nvSpPr>
        <xdr:cNvPr id="27" name="CaixaDeTexto 26">
          <a:extLst>
            <a:ext uri="{FF2B5EF4-FFF2-40B4-BE49-F238E27FC236}">
              <a16:creationId xmlns:a16="http://schemas.microsoft.com/office/drawing/2014/main" id="{D9FE87DF-7395-4185-841E-B5E22E8F8BD5}"/>
            </a:ext>
          </a:extLst>
        </xdr:cNvPr>
        <xdr:cNvSpPr txBox="1"/>
      </xdr:nvSpPr>
      <xdr:spPr>
        <a:xfrm>
          <a:off x="6068986" y="1539240"/>
          <a:ext cx="602986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pt-BR" sz="1000" b="1">
              <a:solidFill>
                <a:schemeClr val="bg1"/>
              </a:solidFill>
            </a:rPr>
            <a:t>SALVAR</a:t>
          </a:r>
        </a:p>
      </xdr:txBody>
    </xdr:sp>
    <xdr:clientData/>
  </xdr:twoCellAnchor>
  <xdr:twoCellAnchor editAs="absolute">
    <xdr:from>
      <xdr:col>12</xdr:col>
      <xdr:colOff>449979</xdr:colOff>
      <xdr:row>10</xdr:row>
      <xdr:rowOff>289560</xdr:rowOff>
    </xdr:from>
    <xdr:to>
      <xdr:col>14</xdr:col>
      <xdr:colOff>22779</xdr:colOff>
      <xdr:row>11</xdr:row>
      <xdr:rowOff>35491</xdr:rowOff>
    </xdr:to>
    <xdr:sp macro="[0]!PesquisarProd" textlink="">
      <xdr:nvSpPr>
        <xdr:cNvPr id="28" name="CaixaDeTexto 27">
          <a:extLst>
            <a:ext uri="{FF2B5EF4-FFF2-40B4-BE49-F238E27FC236}">
              <a16:creationId xmlns:a16="http://schemas.microsoft.com/office/drawing/2014/main" id="{996DD51C-A0AB-48CE-BD9E-ACAE39FDEFD5}"/>
            </a:ext>
          </a:extLst>
        </xdr:cNvPr>
        <xdr:cNvSpPr txBox="1"/>
      </xdr:nvSpPr>
      <xdr:spPr>
        <a:xfrm>
          <a:off x="7521339" y="1539240"/>
          <a:ext cx="792000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pt-BR" sz="1000" b="1">
              <a:solidFill>
                <a:schemeClr val="bg1"/>
              </a:solidFill>
            </a:rPr>
            <a:t>PESQUISAR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15241</xdr:colOff>
      <xdr:row>13</xdr:row>
      <xdr:rowOff>121920</xdr:rowOff>
    </xdr:from>
    <xdr:to>
      <xdr:col>7</xdr:col>
      <xdr:colOff>318135</xdr:colOff>
      <xdr:row>15</xdr:row>
      <xdr:rowOff>60959</xdr:rowOff>
    </xdr:to>
    <xdr:pic macro="[0]!Adicionar">
      <xdr:nvPicPr>
        <xdr:cNvPr id="7" name="Imagem 6">
          <a:extLst>
            <a:ext uri="{FF2B5EF4-FFF2-40B4-BE49-F238E27FC236}">
              <a16:creationId xmlns:a16="http://schemas.microsoft.com/office/drawing/2014/main" id="{6AD349DE-B99B-41AD-BDBF-7C90E9E6D0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92881" y="853440"/>
          <a:ext cx="302894" cy="304799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121920</xdr:colOff>
      <xdr:row>11</xdr:row>
      <xdr:rowOff>160020</xdr:rowOff>
    </xdr:from>
    <xdr:to>
      <xdr:col>8</xdr:col>
      <xdr:colOff>411480</xdr:colOff>
      <xdr:row>13</xdr:row>
      <xdr:rowOff>83820</xdr:rowOff>
    </xdr:to>
    <xdr:pic macro="[0]!PesquisarCliente">
      <xdr:nvPicPr>
        <xdr:cNvPr id="9" name="Imagem 8">
          <a:extLst>
            <a:ext uri="{FF2B5EF4-FFF2-40B4-BE49-F238E27FC236}">
              <a16:creationId xmlns:a16="http://schemas.microsoft.com/office/drawing/2014/main" id="{82B57099-027D-4A30-9086-B32024F10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09160" y="525780"/>
          <a:ext cx="289560" cy="289560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76200</xdr:colOff>
      <xdr:row>13</xdr:row>
      <xdr:rowOff>137160</xdr:rowOff>
    </xdr:from>
    <xdr:to>
      <xdr:col>6</xdr:col>
      <xdr:colOff>365760</xdr:colOff>
      <xdr:row>15</xdr:row>
      <xdr:rowOff>60960</xdr:rowOff>
    </xdr:to>
    <xdr:pic macro="[0]!PesquisarProdVenda">
      <xdr:nvPicPr>
        <xdr:cNvPr id="12" name="Imagem 11">
          <a:extLst>
            <a:ext uri="{FF2B5EF4-FFF2-40B4-BE49-F238E27FC236}">
              <a16:creationId xmlns:a16="http://schemas.microsoft.com/office/drawing/2014/main" id="{AB3E0C59-3237-42A3-B06C-B601486B1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44240" y="868680"/>
          <a:ext cx="289560" cy="289560"/>
        </a:xfrm>
        <a:prstGeom prst="rect">
          <a:avLst/>
        </a:prstGeom>
      </xdr:spPr>
    </xdr:pic>
    <xdr:clientData fLocksWithSheet="0"/>
  </xdr:twoCellAnchor>
  <xdr:oneCellAnchor>
    <xdr:from>
      <xdr:col>3</xdr:col>
      <xdr:colOff>533400</xdr:colOff>
      <xdr:row>0</xdr:row>
      <xdr:rowOff>0</xdr:rowOff>
    </xdr:from>
    <xdr:ext cx="6278880" cy="571500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A1E9DA0-A680-4F4A-B04D-A4349A7792F6}"/>
            </a:ext>
          </a:extLst>
        </xdr:cNvPr>
        <xdr:cNvSpPr txBox="1"/>
      </xdr:nvSpPr>
      <xdr:spPr>
        <a:xfrm>
          <a:off x="2118360" y="0"/>
          <a:ext cx="627888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Controle de Estoque </a:t>
          </a:r>
          <a:r>
            <a:rPr lang="pt-BR" sz="2400" b="1">
              <a:solidFill>
                <a:schemeClr val="accent2"/>
              </a:solidFill>
            </a:rPr>
            <a:t>| Cadastro</a:t>
          </a:r>
          <a:r>
            <a:rPr lang="pt-BR" sz="2400" b="1" baseline="0">
              <a:solidFill>
                <a:schemeClr val="accent2"/>
              </a:solidFill>
            </a:rPr>
            <a:t> de Vendas</a:t>
          </a:r>
          <a:endParaRPr lang="pt-BR" sz="2400" b="1">
            <a:solidFill>
              <a:schemeClr val="accent2"/>
            </a:solidFill>
          </a:endParaRPr>
        </a:p>
      </xdr:txBody>
    </xdr:sp>
    <xdr:clientData/>
  </xdr:oneCellAnchor>
  <xdr:twoCellAnchor editAs="oneCell">
    <xdr:from>
      <xdr:col>0</xdr:col>
      <xdr:colOff>0</xdr:colOff>
      <xdr:row>0</xdr:row>
      <xdr:rowOff>0</xdr:rowOff>
    </xdr:from>
    <xdr:to>
      <xdr:col>3</xdr:col>
      <xdr:colOff>411479</xdr:colOff>
      <xdr:row>3</xdr:row>
      <xdr:rowOff>9360</xdr:rowOff>
    </xdr:to>
    <xdr:pic>
      <xdr:nvPicPr>
        <xdr:cNvPr id="15" name="Imagem 1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F9849EB-8EFA-4002-89F9-9C3A906EFF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38100</xdr:colOff>
      <xdr:row>8</xdr:row>
      <xdr:rowOff>38100</xdr:rowOff>
    </xdr:from>
    <xdr:to>
      <xdr:col>1</xdr:col>
      <xdr:colOff>470100</xdr:colOff>
      <xdr:row>8</xdr:row>
      <xdr:rowOff>304500</xdr:rowOff>
    </xdr:to>
    <xdr:sp macro="" textlink="">
      <xdr:nvSpPr>
        <xdr:cNvPr id="16" name="Seta: para a Direita 1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1AC531B-FDCC-4B02-BE3B-51FBCE7607CB}"/>
            </a:ext>
          </a:extLst>
        </xdr:cNvPr>
        <xdr:cNvSpPr/>
      </xdr:nvSpPr>
      <xdr:spPr>
        <a:xfrm flipH="1">
          <a:off x="228600" y="79248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525780</xdr:colOff>
      <xdr:row>8</xdr:row>
      <xdr:rowOff>45720</xdr:rowOff>
    </xdr:from>
    <xdr:to>
      <xdr:col>3</xdr:col>
      <xdr:colOff>509040</xdr:colOff>
      <xdr:row>8</xdr:row>
      <xdr:rowOff>312120</xdr:rowOff>
    </xdr:to>
    <xdr:sp macro="" textlink="">
      <xdr:nvSpPr>
        <xdr:cNvPr id="17" name="CaixaDeTexto 1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76A96DB-A6E3-43D7-ADAB-1231B5D79C00}"/>
            </a:ext>
          </a:extLst>
        </xdr:cNvPr>
        <xdr:cNvSpPr txBox="1"/>
      </xdr:nvSpPr>
      <xdr:spPr>
        <a:xfrm>
          <a:off x="716280" y="800100"/>
          <a:ext cx="1332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pt-BR" sz="1100" b="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rPr>
            <a:t>Clientes</a:t>
          </a:r>
        </a:p>
      </xdr:txBody>
    </xdr:sp>
    <xdr:clientData/>
  </xdr:twoCellAnchor>
  <xdr:twoCellAnchor editAs="absolute">
    <xdr:from>
      <xdr:col>3</xdr:col>
      <xdr:colOff>556260</xdr:colOff>
      <xdr:row>8</xdr:row>
      <xdr:rowOff>45720</xdr:rowOff>
    </xdr:from>
    <xdr:to>
      <xdr:col>6</xdr:col>
      <xdr:colOff>59460</xdr:colOff>
      <xdr:row>8</xdr:row>
      <xdr:rowOff>312120</xdr:rowOff>
    </xdr:to>
    <xdr:sp macro="" textlink="">
      <xdr:nvSpPr>
        <xdr:cNvPr id="18" name="CaixaDeTexto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B08E6DD-BFC9-4A32-B471-3C7802DE4CCA}"/>
            </a:ext>
          </a:extLst>
        </xdr:cNvPr>
        <xdr:cNvSpPr txBox="1"/>
      </xdr:nvSpPr>
      <xdr:spPr>
        <a:xfrm>
          <a:off x="2095500" y="800100"/>
          <a:ext cx="1332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Produtos</a:t>
          </a:r>
        </a:p>
      </xdr:txBody>
    </xdr:sp>
    <xdr:clientData/>
  </xdr:twoCellAnchor>
  <xdr:twoCellAnchor editAs="absolute">
    <xdr:from>
      <xdr:col>6</xdr:col>
      <xdr:colOff>121920</xdr:colOff>
      <xdr:row>8</xdr:row>
      <xdr:rowOff>45720</xdr:rowOff>
    </xdr:from>
    <xdr:to>
      <xdr:col>8</xdr:col>
      <xdr:colOff>234720</xdr:colOff>
      <xdr:row>8</xdr:row>
      <xdr:rowOff>312120</xdr:rowOff>
    </xdr:to>
    <xdr:sp macro="" textlink="">
      <xdr:nvSpPr>
        <xdr:cNvPr id="19" name="CaixaDeTexto 1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64087959-682B-4064-9427-4BDA34DD428E}"/>
            </a:ext>
          </a:extLst>
        </xdr:cNvPr>
        <xdr:cNvSpPr txBox="1"/>
      </xdr:nvSpPr>
      <xdr:spPr>
        <a:xfrm>
          <a:off x="3489960" y="800100"/>
          <a:ext cx="1332000" cy="266400"/>
        </a:xfrm>
        <a:prstGeom prst="rect">
          <a:avLst/>
        </a:prstGeom>
        <a:solidFill>
          <a:schemeClr val="accent5">
            <a:lumMod val="75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pt-BR" sz="1100" b="0">
              <a:solidFill>
                <a:schemeClr val="bg1"/>
              </a:solidFill>
              <a:latin typeface="+mn-lt"/>
              <a:ea typeface="+mn-ea"/>
              <a:cs typeface="+mn-cs"/>
            </a:rPr>
            <a:t>Vendas</a:t>
          </a:r>
        </a:p>
      </xdr:txBody>
    </xdr:sp>
    <xdr:clientData/>
  </xdr:twoCellAnchor>
  <xdr:twoCellAnchor editAs="absolute">
    <xdr:from>
      <xdr:col>8</xdr:col>
      <xdr:colOff>289560</xdr:colOff>
      <xdr:row>8</xdr:row>
      <xdr:rowOff>38100</xdr:rowOff>
    </xdr:from>
    <xdr:to>
      <xdr:col>10</xdr:col>
      <xdr:colOff>402360</xdr:colOff>
      <xdr:row>8</xdr:row>
      <xdr:rowOff>304500</xdr:rowOff>
    </xdr:to>
    <xdr:sp macro="" textlink="">
      <xdr:nvSpPr>
        <xdr:cNvPr id="20" name="CaixaDeTexto 1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D50F158F-827A-4CDF-8D2A-B7C60C453577}"/>
            </a:ext>
          </a:extLst>
        </xdr:cNvPr>
        <xdr:cNvSpPr txBox="1"/>
      </xdr:nvSpPr>
      <xdr:spPr>
        <a:xfrm>
          <a:off x="4876800" y="792480"/>
          <a:ext cx="1332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</a:t>
          </a:r>
        </a:p>
      </xdr:txBody>
    </xdr:sp>
    <xdr:clientData/>
  </xdr:twoCellAnchor>
  <xdr:twoCellAnchor editAs="absolute">
    <xdr:from>
      <xdr:col>14</xdr:col>
      <xdr:colOff>151973</xdr:colOff>
      <xdr:row>10</xdr:row>
      <xdr:rowOff>0</xdr:rowOff>
    </xdr:from>
    <xdr:to>
      <xdr:col>14</xdr:col>
      <xdr:colOff>511973</xdr:colOff>
      <xdr:row>10</xdr:row>
      <xdr:rowOff>360000</xdr:rowOff>
    </xdr:to>
    <xdr:pic macro="[0]!LimparVenda">
      <xdr:nvPicPr>
        <xdr:cNvPr id="21" name="Gráfico 20" descr="Borracha">
          <a:extLst>
            <a:ext uri="{FF2B5EF4-FFF2-40B4-BE49-F238E27FC236}">
              <a16:creationId xmlns:a16="http://schemas.microsoft.com/office/drawing/2014/main" id="{66561E39-7A88-47E1-B7D7-717B40214A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396813" y="1249680"/>
          <a:ext cx="360000" cy="360000"/>
        </a:xfrm>
        <a:prstGeom prst="rect">
          <a:avLst/>
        </a:prstGeom>
      </xdr:spPr>
    </xdr:pic>
    <xdr:clientData/>
  </xdr:twoCellAnchor>
  <xdr:twoCellAnchor editAs="absolute">
    <xdr:from>
      <xdr:col>13</xdr:col>
      <xdr:colOff>1477</xdr:colOff>
      <xdr:row>10</xdr:row>
      <xdr:rowOff>7620</xdr:rowOff>
    </xdr:from>
    <xdr:to>
      <xdr:col>13</xdr:col>
      <xdr:colOff>351952</xdr:colOff>
      <xdr:row>10</xdr:row>
      <xdr:rowOff>367620</xdr:rowOff>
    </xdr:to>
    <xdr:pic macro="[0]!SalvarVenda">
      <xdr:nvPicPr>
        <xdr:cNvPr id="22" name="Gráfico 21" descr="Disco">
          <a:extLst>
            <a:ext uri="{FF2B5EF4-FFF2-40B4-BE49-F238E27FC236}">
              <a16:creationId xmlns:a16="http://schemas.microsoft.com/office/drawing/2014/main" id="{9E26DD5C-7D14-41DA-BE9F-1E5CAB5831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627192" y="1257300"/>
          <a:ext cx="360000" cy="360000"/>
        </a:xfrm>
        <a:prstGeom prst="rect">
          <a:avLst/>
        </a:prstGeom>
      </xdr:spPr>
    </xdr:pic>
    <xdr:clientData/>
  </xdr:twoCellAnchor>
  <xdr:twoCellAnchor editAs="absolute">
    <xdr:from>
      <xdr:col>14</xdr:col>
      <xdr:colOff>7459</xdr:colOff>
      <xdr:row>10</xdr:row>
      <xdr:rowOff>297180</xdr:rowOff>
    </xdr:from>
    <xdr:to>
      <xdr:col>15</xdr:col>
      <xdr:colOff>1165</xdr:colOff>
      <xdr:row>11</xdr:row>
      <xdr:rowOff>43111</xdr:rowOff>
    </xdr:to>
    <xdr:sp macro="[0]!LimparVenda" textlink="">
      <xdr:nvSpPr>
        <xdr:cNvPr id="23" name="CaixaDeTexto 22">
          <a:extLst>
            <a:ext uri="{FF2B5EF4-FFF2-40B4-BE49-F238E27FC236}">
              <a16:creationId xmlns:a16="http://schemas.microsoft.com/office/drawing/2014/main" id="{98BEB9E7-E57C-49E8-993F-2FEDDF099F20}"/>
            </a:ext>
          </a:extLst>
        </xdr:cNvPr>
        <xdr:cNvSpPr txBox="1"/>
      </xdr:nvSpPr>
      <xdr:spPr>
        <a:xfrm>
          <a:off x="8252299" y="1546860"/>
          <a:ext cx="603306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pt-BR" sz="1000" b="1">
              <a:solidFill>
                <a:schemeClr val="bg1"/>
              </a:solidFill>
            </a:rPr>
            <a:t>LIMPAR</a:t>
          </a:r>
        </a:p>
      </xdr:txBody>
    </xdr:sp>
    <xdr:clientData/>
  </xdr:twoCellAnchor>
  <xdr:twoCellAnchor editAs="absolute">
    <xdr:from>
      <xdr:col>12</xdr:col>
      <xdr:colOff>472440</xdr:colOff>
      <xdr:row>10</xdr:row>
      <xdr:rowOff>289560</xdr:rowOff>
    </xdr:from>
    <xdr:to>
      <xdr:col>13</xdr:col>
      <xdr:colOff>465826</xdr:colOff>
      <xdr:row>11</xdr:row>
      <xdr:rowOff>35491</xdr:rowOff>
    </xdr:to>
    <xdr:sp macro="[0]!SalvarVenda" textlink="">
      <xdr:nvSpPr>
        <xdr:cNvPr id="24" name="CaixaDeTexto 23">
          <a:extLst>
            <a:ext uri="{FF2B5EF4-FFF2-40B4-BE49-F238E27FC236}">
              <a16:creationId xmlns:a16="http://schemas.microsoft.com/office/drawing/2014/main" id="{366613CB-A32E-45BE-B3CA-6D47BDDE461F}"/>
            </a:ext>
          </a:extLst>
        </xdr:cNvPr>
        <xdr:cNvSpPr txBox="1"/>
      </xdr:nvSpPr>
      <xdr:spPr>
        <a:xfrm>
          <a:off x="7498080" y="1539240"/>
          <a:ext cx="602986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pt-BR" sz="1000" b="1">
              <a:solidFill>
                <a:schemeClr val="bg1"/>
              </a:solidFill>
            </a:rPr>
            <a:t>SALVAR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533400</xdr:colOff>
      <xdr:row>0</xdr:row>
      <xdr:rowOff>0</xdr:rowOff>
    </xdr:from>
    <xdr:ext cx="488442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84A7CED-18AF-4D61-A550-1B6399A9501C}"/>
            </a:ext>
          </a:extLst>
        </xdr:cNvPr>
        <xdr:cNvSpPr txBox="1"/>
      </xdr:nvSpPr>
      <xdr:spPr>
        <a:xfrm>
          <a:off x="1950720" y="0"/>
          <a:ext cx="488442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Controle de Estoque </a:t>
          </a:r>
          <a:r>
            <a:rPr lang="pt-BR" sz="2400" b="1">
              <a:solidFill>
                <a:schemeClr val="accent2"/>
              </a:solidFill>
            </a:rPr>
            <a:t>| Relatório</a:t>
          </a:r>
        </a:p>
      </xdr:txBody>
    </xdr:sp>
    <xdr:clientData/>
  </xdr:oneCellAnchor>
  <xdr:twoCellAnchor editAs="oneCell">
    <xdr:from>
      <xdr:col>0</xdr:col>
      <xdr:colOff>0</xdr:colOff>
      <xdr:row>0</xdr:row>
      <xdr:rowOff>0</xdr:rowOff>
    </xdr:from>
    <xdr:to>
      <xdr:col>3</xdr:col>
      <xdr:colOff>541019</xdr:colOff>
      <xdr:row>3</xdr:row>
      <xdr:rowOff>9360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B96E4C2-762C-4808-884A-4ED6262CED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83820</xdr:colOff>
      <xdr:row>8</xdr:row>
      <xdr:rowOff>38100</xdr:rowOff>
    </xdr:from>
    <xdr:to>
      <xdr:col>1</xdr:col>
      <xdr:colOff>325320</xdr:colOff>
      <xdr:row>8</xdr:row>
      <xdr:rowOff>304500</xdr:rowOff>
    </xdr:to>
    <xdr:sp macro="" textlink="">
      <xdr:nvSpPr>
        <xdr:cNvPr id="4" name="Seta: para a Direita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4A1904-444E-49FD-A170-2C0F0F4EF3F2}"/>
            </a:ext>
          </a:extLst>
        </xdr:cNvPr>
        <xdr:cNvSpPr/>
      </xdr:nvSpPr>
      <xdr:spPr>
        <a:xfrm flipH="1">
          <a:off x="83820" y="79248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419100</xdr:colOff>
      <xdr:row>8</xdr:row>
      <xdr:rowOff>45720</xdr:rowOff>
    </xdr:from>
    <xdr:to>
      <xdr:col>3</xdr:col>
      <xdr:colOff>531900</xdr:colOff>
      <xdr:row>8</xdr:row>
      <xdr:rowOff>312120</xdr:rowOff>
    </xdr:to>
    <xdr:sp macro="" textlink="">
      <xdr:nvSpPr>
        <xdr:cNvPr id="5" name="CaixaDeText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6750BE2-D124-4C51-AC8D-A3D307B4F46D}"/>
            </a:ext>
          </a:extLst>
        </xdr:cNvPr>
        <xdr:cNvSpPr txBox="1"/>
      </xdr:nvSpPr>
      <xdr:spPr>
        <a:xfrm>
          <a:off x="609600" y="800100"/>
          <a:ext cx="1332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pt-BR" sz="1100" b="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rPr>
            <a:t>Clientes</a:t>
          </a:r>
        </a:p>
      </xdr:txBody>
    </xdr:sp>
    <xdr:clientData/>
  </xdr:twoCellAnchor>
  <xdr:twoCellAnchor editAs="absolute">
    <xdr:from>
      <xdr:col>3</xdr:col>
      <xdr:colOff>586740</xdr:colOff>
      <xdr:row>8</xdr:row>
      <xdr:rowOff>45720</xdr:rowOff>
    </xdr:from>
    <xdr:to>
      <xdr:col>6</xdr:col>
      <xdr:colOff>89940</xdr:colOff>
      <xdr:row>8</xdr:row>
      <xdr:rowOff>312120</xdr:rowOff>
    </xdr:to>
    <xdr:sp macro="" textlink="">
      <xdr:nvSpPr>
        <xdr:cNvPr id="6" name="CaixaDeText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5867E80-55B8-4C47-991C-243D5CCED2E8}"/>
            </a:ext>
          </a:extLst>
        </xdr:cNvPr>
        <xdr:cNvSpPr txBox="1"/>
      </xdr:nvSpPr>
      <xdr:spPr>
        <a:xfrm>
          <a:off x="1996440" y="800100"/>
          <a:ext cx="1332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Produtos</a:t>
          </a:r>
        </a:p>
      </xdr:txBody>
    </xdr:sp>
    <xdr:clientData/>
  </xdr:twoCellAnchor>
  <xdr:twoCellAnchor editAs="absolute">
    <xdr:from>
      <xdr:col>6</xdr:col>
      <xdr:colOff>152400</xdr:colOff>
      <xdr:row>8</xdr:row>
      <xdr:rowOff>45720</xdr:rowOff>
    </xdr:from>
    <xdr:to>
      <xdr:col>8</xdr:col>
      <xdr:colOff>265200</xdr:colOff>
      <xdr:row>8</xdr:row>
      <xdr:rowOff>312120</xdr:rowOff>
    </xdr:to>
    <xdr:sp macro="" textlink="">
      <xdr:nvSpPr>
        <xdr:cNvPr id="7" name="CaixaDeText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21D6ABC-8A49-4060-9B06-F9A7CD35CD36}"/>
            </a:ext>
          </a:extLst>
        </xdr:cNvPr>
        <xdr:cNvSpPr txBox="1"/>
      </xdr:nvSpPr>
      <xdr:spPr>
        <a:xfrm>
          <a:off x="3390900" y="800100"/>
          <a:ext cx="1332000" cy="266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Vendas</a:t>
          </a:r>
        </a:p>
      </xdr:txBody>
    </xdr:sp>
    <xdr:clientData/>
  </xdr:twoCellAnchor>
  <xdr:twoCellAnchor editAs="absolute">
    <xdr:from>
      <xdr:col>8</xdr:col>
      <xdr:colOff>320040</xdr:colOff>
      <xdr:row>8</xdr:row>
      <xdr:rowOff>38100</xdr:rowOff>
    </xdr:from>
    <xdr:to>
      <xdr:col>10</xdr:col>
      <xdr:colOff>432840</xdr:colOff>
      <xdr:row>8</xdr:row>
      <xdr:rowOff>304500</xdr:rowOff>
    </xdr:to>
    <xdr:sp macro="" textlink="">
      <xdr:nvSpPr>
        <xdr:cNvPr id="8" name="CaixaDeText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88ED68A-9358-489E-BBE6-E18F5CEC3C55}"/>
            </a:ext>
          </a:extLst>
        </xdr:cNvPr>
        <xdr:cNvSpPr txBox="1"/>
      </xdr:nvSpPr>
      <xdr:spPr>
        <a:xfrm>
          <a:off x="4785360" y="792480"/>
          <a:ext cx="1332000" cy="266400"/>
        </a:xfrm>
        <a:prstGeom prst="rect">
          <a:avLst/>
        </a:prstGeom>
        <a:solidFill>
          <a:schemeClr val="accent5">
            <a:lumMod val="75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pt-BR" sz="1100" b="0">
              <a:solidFill>
                <a:schemeClr val="bg1"/>
              </a:solidFill>
              <a:latin typeface="+mn-lt"/>
              <a:ea typeface="+mn-ea"/>
              <a:cs typeface="+mn-cs"/>
            </a:rPr>
            <a:t>Relatório</a:t>
          </a: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18</xdr:col>
      <xdr:colOff>372000</xdr:colOff>
      <xdr:row>22</xdr:row>
      <xdr:rowOff>177840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BB43F349-A4B9-4BA8-A762-FDEE2D460B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24</xdr:row>
      <xdr:rowOff>0</xdr:rowOff>
    </xdr:from>
    <xdr:to>
      <xdr:col>18</xdr:col>
      <xdr:colOff>372000</xdr:colOff>
      <xdr:row>36</xdr:row>
      <xdr:rowOff>177840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673248DB-C102-424B-B0BB-45866811EB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38</xdr:row>
      <xdr:rowOff>0</xdr:rowOff>
    </xdr:from>
    <xdr:to>
      <xdr:col>18</xdr:col>
      <xdr:colOff>372000</xdr:colOff>
      <xdr:row>50</xdr:row>
      <xdr:rowOff>177840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22E386AE-7A65-459A-B840-ED05F044BA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10</xdr:row>
      <xdr:rowOff>0</xdr:rowOff>
    </xdr:from>
    <xdr:to>
      <xdr:col>9</xdr:col>
      <xdr:colOff>373380</xdr:colOff>
      <xdr:row>22</xdr:row>
      <xdr:rowOff>179070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14C6D3D2-01B2-4D12-BE81-2D57737E3A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1380</xdr:colOff>
      <xdr:row>24</xdr:row>
      <xdr:rowOff>11430</xdr:rowOff>
    </xdr:from>
    <xdr:to>
      <xdr:col>9</xdr:col>
      <xdr:colOff>373380</xdr:colOff>
      <xdr:row>37</xdr:row>
      <xdr:rowOff>6390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71A01898-F3F4-4784-810A-A4A2159FB4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1380</xdr:colOff>
      <xdr:row>38</xdr:row>
      <xdr:rowOff>11430</xdr:rowOff>
    </xdr:from>
    <xdr:to>
      <xdr:col>9</xdr:col>
      <xdr:colOff>373380</xdr:colOff>
      <xdr:row>51</xdr:row>
      <xdr:rowOff>6390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FD403AA3-3086-4E18-B547-31327391D0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10</xdr:col>
      <xdr:colOff>502920</xdr:colOff>
      <xdr:row>8</xdr:row>
      <xdr:rowOff>39940</xdr:rowOff>
    </xdr:from>
    <xdr:to>
      <xdr:col>13</xdr:col>
      <xdr:colOff>6120</xdr:colOff>
      <xdr:row>8</xdr:row>
      <xdr:rowOff>304500</xdr:rowOff>
    </xdr:to>
    <xdr:sp macro="[0]!Planilha10.Imprimir" textlink="">
      <xdr:nvSpPr>
        <xdr:cNvPr id="21" name="CaixaDeTexto 20">
          <a:extLst>
            <a:ext uri="{FF2B5EF4-FFF2-40B4-BE49-F238E27FC236}">
              <a16:creationId xmlns:a16="http://schemas.microsoft.com/office/drawing/2014/main" id="{5C8566D1-EE0E-4241-9507-CDC9D9BAB351}"/>
            </a:ext>
          </a:extLst>
        </xdr:cNvPr>
        <xdr:cNvSpPr txBox="1"/>
      </xdr:nvSpPr>
      <xdr:spPr>
        <a:xfrm>
          <a:off x="6187440" y="79432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Imprimir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842682</xdr:colOff>
      <xdr:row>63</xdr:row>
      <xdr:rowOff>69531</xdr:rowOff>
    </xdr:from>
    <xdr:to>
      <xdr:col>7</xdr:col>
      <xdr:colOff>2169459</xdr:colOff>
      <xdr:row>82</xdr:row>
      <xdr:rowOff>92898</xdr:rowOff>
    </xdr:to>
    <xdr:pic>
      <xdr:nvPicPr>
        <xdr:cNvPr id="123" name="Imagem 122">
          <a:extLst>
            <a:ext uri="{FF2B5EF4-FFF2-40B4-BE49-F238E27FC236}">
              <a16:creationId xmlns:a16="http://schemas.microsoft.com/office/drawing/2014/main" id="{91F9FA03-4010-49BE-8599-1B27DED2BF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8188" y="11060260"/>
          <a:ext cx="9646024" cy="34299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2453640</xdr:colOff>
      <xdr:row>0</xdr:row>
      <xdr:rowOff>0</xdr:rowOff>
    </xdr:from>
    <xdr:ext cx="5227320" cy="571500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899E2204-54A7-4811-9494-A14BD43619D7}"/>
            </a:ext>
          </a:extLst>
        </xdr:cNvPr>
        <xdr:cNvSpPr txBox="1"/>
      </xdr:nvSpPr>
      <xdr:spPr>
        <a:xfrm>
          <a:off x="2575560" y="0"/>
          <a:ext cx="522732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Controle de Estoque</a:t>
          </a:r>
        </a:p>
      </xdr:txBody>
    </xdr:sp>
    <xdr:clientData/>
  </xdr:oneCellAnchor>
  <xdr:twoCellAnchor editAs="absolute">
    <xdr:from>
      <xdr:col>1</xdr:col>
      <xdr:colOff>213361</xdr:colOff>
      <xdr:row>0</xdr:row>
      <xdr:rowOff>0</xdr:rowOff>
    </xdr:from>
    <xdr:to>
      <xdr:col>1</xdr:col>
      <xdr:colOff>2164080</xdr:colOff>
      <xdr:row>3</xdr:row>
      <xdr:rowOff>9360</xdr:rowOff>
    </xdr:to>
    <xdr:pic>
      <xdr:nvPicPr>
        <xdr:cNvPr id="5" name="Imagem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9A44A98-7105-4224-BC8C-23F1F71CBF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1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640080</xdr:colOff>
      <xdr:row>8</xdr:row>
      <xdr:rowOff>19050</xdr:rowOff>
    </xdr:from>
    <xdr:to>
      <xdr:col>1</xdr:col>
      <xdr:colOff>1972080</xdr:colOff>
      <xdr:row>8</xdr:row>
      <xdr:rowOff>283610</xdr:rowOff>
    </xdr:to>
    <xdr:sp macro="" textlink="">
      <xdr:nvSpPr>
        <xdr:cNvPr id="6" name="CaixaDeText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D9BAE97-8B8D-4F38-93D5-8AB87CB0F53F}"/>
            </a:ext>
          </a:extLst>
        </xdr:cNvPr>
        <xdr:cNvSpPr txBox="1"/>
      </xdr:nvSpPr>
      <xdr:spPr>
        <a:xfrm>
          <a:off x="762000" y="77343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Acessar a Planilha</a:t>
          </a:r>
        </a:p>
      </xdr:txBody>
    </xdr:sp>
    <xdr:clientData/>
  </xdr:twoCellAnchor>
  <xdr:twoCellAnchor>
    <xdr:from>
      <xdr:col>1</xdr:col>
      <xdr:colOff>929640</xdr:colOff>
      <xdr:row>9</xdr:row>
      <xdr:rowOff>7620</xdr:rowOff>
    </xdr:from>
    <xdr:to>
      <xdr:col>7</xdr:col>
      <xdr:colOff>2887980</xdr:colOff>
      <xdr:row>9</xdr:row>
      <xdr:rowOff>295620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37E2EDF2-ED5B-49C8-8BE7-DE0A1E1FA728}"/>
            </a:ext>
          </a:extLst>
        </xdr:cNvPr>
        <xdr:cNvSpPr txBox="1"/>
      </xdr:nvSpPr>
      <xdr:spPr>
        <a:xfrm>
          <a:off x="1051560" y="1074420"/>
          <a:ext cx="10233660" cy="288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2"/>
              </a:solidFill>
            </a:rPr>
            <a:t>Instruções</a:t>
          </a:r>
        </a:p>
      </xdr:txBody>
    </xdr:sp>
    <xdr:clientData/>
  </xdr:twoCellAnchor>
  <xdr:twoCellAnchor>
    <xdr:from>
      <xdr:col>1</xdr:col>
      <xdr:colOff>60960</xdr:colOff>
      <xdr:row>8</xdr:row>
      <xdr:rowOff>30480</xdr:rowOff>
    </xdr:from>
    <xdr:to>
      <xdr:col>1</xdr:col>
      <xdr:colOff>492960</xdr:colOff>
      <xdr:row>8</xdr:row>
      <xdr:rowOff>296880</xdr:rowOff>
    </xdr:to>
    <xdr:sp macro="" textlink="">
      <xdr:nvSpPr>
        <xdr:cNvPr id="47" name="Seta: para a Direita 4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D2DE6FD-C8AA-4325-8057-B43E4555D458}"/>
            </a:ext>
          </a:extLst>
        </xdr:cNvPr>
        <xdr:cNvSpPr/>
      </xdr:nvSpPr>
      <xdr:spPr>
        <a:xfrm flipH="1">
          <a:off x="182880" y="78486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1057834</xdr:colOff>
      <xdr:row>11</xdr:row>
      <xdr:rowOff>98612</xdr:rowOff>
    </xdr:from>
    <xdr:to>
      <xdr:col>7</xdr:col>
      <xdr:colOff>1775010</xdr:colOff>
      <xdr:row>31</xdr:row>
      <xdr:rowOff>17752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CC5B48DD-447A-418F-9CF2-C401819013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3340" y="1658471"/>
          <a:ext cx="9036423" cy="35050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485888</xdr:colOff>
      <xdr:row>15</xdr:row>
      <xdr:rowOff>169882</xdr:rowOff>
    </xdr:from>
    <xdr:to>
      <xdr:col>1</xdr:col>
      <xdr:colOff>1219200</xdr:colOff>
      <xdr:row>16</xdr:row>
      <xdr:rowOff>143436</xdr:rowOff>
    </xdr:to>
    <xdr:cxnSp macro="">
      <xdr:nvCxnSpPr>
        <xdr:cNvPr id="54" name="Conector de Seta Reta 53">
          <a:extLst>
            <a:ext uri="{FF2B5EF4-FFF2-40B4-BE49-F238E27FC236}">
              <a16:creationId xmlns:a16="http://schemas.microsoft.com/office/drawing/2014/main" id="{D72D9149-D1FB-410F-AA8D-105F6FB0481C}"/>
            </a:ext>
          </a:extLst>
        </xdr:cNvPr>
        <xdr:cNvCxnSpPr>
          <a:stCxn id="55" idx="2"/>
        </xdr:cNvCxnSpPr>
      </xdr:nvCxnSpPr>
      <xdr:spPr>
        <a:xfrm>
          <a:off x="611394" y="2446917"/>
          <a:ext cx="733312" cy="152848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62754</xdr:colOff>
      <xdr:row>12</xdr:row>
      <xdr:rowOff>44824</xdr:rowOff>
    </xdr:from>
    <xdr:to>
      <xdr:col>1</xdr:col>
      <xdr:colOff>1034528</xdr:colOff>
      <xdr:row>15</xdr:row>
      <xdr:rowOff>169882</xdr:rowOff>
    </xdr:to>
    <xdr:sp macro="" textlink="">
      <xdr:nvSpPr>
        <xdr:cNvPr id="55" name="Retângulo 54">
          <a:extLst>
            <a:ext uri="{FF2B5EF4-FFF2-40B4-BE49-F238E27FC236}">
              <a16:creationId xmlns:a16="http://schemas.microsoft.com/office/drawing/2014/main" id="{095F5F21-4F96-402D-8BCB-38FA8B5920BA}"/>
            </a:ext>
          </a:extLst>
        </xdr:cNvPr>
        <xdr:cNvSpPr/>
      </xdr:nvSpPr>
      <xdr:spPr>
        <a:xfrm>
          <a:off x="62754" y="1783977"/>
          <a:ext cx="1097280" cy="66294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Clique na seta azul para voltar ao Menu.</a:t>
          </a:r>
        </a:p>
      </xdr:txBody>
    </xdr:sp>
    <xdr:clientData/>
  </xdr:twoCellAnchor>
  <xdr:twoCellAnchor>
    <xdr:from>
      <xdr:col>1</xdr:col>
      <xdr:colOff>2628901</xdr:colOff>
      <xdr:row>32</xdr:row>
      <xdr:rowOff>106232</xdr:rowOff>
    </xdr:from>
    <xdr:to>
      <xdr:col>4</xdr:col>
      <xdr:colOff>421594</xdr:colOff>
      <xdr:row>36</xdr:row>
      <xdr:rowOff>42133</xdr:rowOff>
    </xdr:to>
    <xdr:sp macro="" textlink="">
      <xdr:nvSpPr>
        <xdr:cNvPr id="56" name="Retângulo 55">
          <a:extLst>
            <a:ext uri="{FF2B5EF4-FFF2-40B4-BE49-F238E27FC236}">
              <a16:creationId xmlns:a16="http://schemas.microsoft.com/office/drawing/2014/main" id="{98863F52-D928-4B9D-AB03-1C033C3853C3}"/>
            </a:ext>
          </a:extLst>
        </xdr:cNvPr>
        <xdr:cNvSpPr/>
      </xdr:nvSpPr>
      <xdr:spPr>
        <a:xfrm>
          <a:off x="2754407" y="5431267"/>
          <a:ext cx="1952316" cy="653078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Preencha os dados do Cliente</a:t>
          </a:r>
          <a:r>
            <a:rPr lang="pt-BR" sz="1100" baseline="0">
              <a:solidFill>
                <a:schemeClr val="accent2"/>
              </a:solidFill>
            </a:rPr>
            <a:t> para fazer o Cadastro.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2</xdr:col>
      <xdr:colOff>799106</xdr:colOff>
      <xdr:row>30</xdr:row>
      <xdr:rowOff>161364</xdr:rowOff>
    </xdr:from>
    <xdr:to>
      <xdr:col>2</xdr:col>
      <xdr:colOff>848510</xdr:colOff>
      <xdr:row>32</xdr:row>
      <xdr:rowOff>106232</xdr:rowOff>
    </xdr:to>
    <xdr:cxnSp macro="">
      <xdr:nvCxnSpPr>
        <xdr:cNvPr id="57" name="Conector de Seta Reta 56">
          <a:extLst>
            <a:ext uri="{FF2B5EF4-FFF2-40B4-BE49-F238E27FC236}">
              <a16:creationId xmlns:a16="http://schemas.microsoft.com/office/drawing/2014/main" id="{89EF58F1-FC22-4C86-A0E7-47389937F351}"/>
            </a:ext>
          </a:extLst>
        </xdr:cNvPr>
        <xdr:cNvCxnSpPr>
          <a:stCxn id="56" idx="0"/>
          <a:endCxn id="61" idx="2"/>
        </xdr:cNvCxnSpPr>
      </xdr:nvCxnSpPr>
      <xdr:spPr>
        <a:xfrm flipV="1">
          <a:off x="3730565" y="5127811"/>
          <a:ext cx="49404" cy="303456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1204409</xdr:colOff>
      <xdr:row>14</xdr:row>
      <xdr:rowOff>125954</xdr:rowOff>
    </xdr:from>
    <xdr:to>
      <xdr:col>7</xdr:col>
      <xdr:colOff>1984338</xdr:colOff>
      <xdr:row>17</xdr:row>
      <xdr:rowOff>42134</xdr:rowOff>
    </xdr:to>
    <xdr:sp macro="" textlink="">
      <xdr:nvSpPr>
        <xdr:cNvPr id="58" name="Retângulo 57">
          <a:extLst>
            <a:ext uri="{FF2B5EF4-FFF2-40B4-BE49-F238E27FC236}">
              <a16:creationId xmlns:a16="http://schemas.microsoft.com/office/drawing/2014/main" id="{86CBC465-D531-489D-8F0D-8064BB67A186}"/>
            </a:ext>
          </a:extLst>
        </xdr:cNvPr>
        <xdr:cNvSpPr/>
      </xdr:nvSpPr>
      <xdr:spPr>
        <a:xfrm>
          <a:off x="8295491" y="2223695"/>
          <a:ext cx="2133600" cy="454063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</a:t>
          </a:r>
          <a:r>
            <a:rPr lang="pt-BR" sz="1100" baseline="0">
              <a:solidFill>
                <a:schemeClr val="accent2"/>
              </a:solidFill>
            </a:rPr>
            <a:t> os botões para navegar na planilha.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1803699</xdr:colOff>
      <xdr:row>15</xdr:row>
      <xdr:rowOff>163156</xdr:rowOff>
    </xdr:from>
    <xdr:to>
      <xdr:col>5</xdr:col>
      <xdr:colOff>887506</xdr:colOff>
      <xdr:row>17</xdr:row>
      <xdr:rowOff>143435</xdr:rowOff>
    </xdr:to>
    <xdr:sp macro="" textlink="">
      <xdr:nvSpPr>
        <xdr:cNvPr id="59" name="Retângulo 58">
          <a:extLst>
            <a:ext uri="{FF2B5EF4-FFF2-40B4-BE49-F238E27FC236}">
              <a16:creationId xmlns:a16="http://schemas.microsoft.com/office/drawing/2014/main" id="{AB52120F-FF13-4ABB-B285-DF6E91C4C48A}"/>
            </a:ext>
          </a:extLst>
        </xdr:cNvPr>
        <xdr:cNvSpPr/>
      </xdr:nvSpPr>
      <xdr:spPr>
        <a:xfrm>
          <a:off x="1929205" y="2440191"/>
          <a:ext cx="6049383" cy="338868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5</xdr:col>
      <xdr:colOff>887506</xdr:colOff>
      <xdr:row>15</xdr:row>
      <xdr:rowOff>173692</xdr:rowOff>
    </xdr:from>
    <xdr:to>
      <xdr:col>5</xdr:col>
      <xdr:colOff>1204409</xdr:colOff>
      <xdr:row>16</xdr:row>
      <xdr:rowOff>153296</xdr:rowOff>
    </xdr:to>
    <xdr:cxnSp macro="">
      <xdr:nvCxnSpPr>
        <xdr:cNvPr id="60" name="Conector de Seta Reta 59">
          <a:extLst>
            <a:ext uri="{FF2B5EF4-FFF2-40B4-BE49-F238E27FC236}">
              <a16:creationId xmlns:a16="http://schemas.microsoft.com/office/drawing/2014/main" id="{E08BBE1E-5D02-43B8-BBA2-BC81B84256EB}"/>
            </a:ext>
          </a:extLst>
        </xdr:cNvPr>
        <xdr:cNvCxnSpPr>
          <a:stCxn id="58" idx="1"/>
          <a:endCxn id="59" idx="3"/>
        </xdr:cNvCxnSpPr>
      </xdr:nvCxnSpPr>
      <xdr:spPr>
        <a:xfrm flipH="1">
          <a:off x="7978588" y="2450727"/>
          <a:ext cx="316903" cy="158898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1194996</xdr:colOff>
      <xdr:row>22</xdr:row>
      <xdr:rowOff>161364</xdr:rowOff>
    </xdr:from>
    <xdr:to>
      <xdr:col>4</xdr:col>
      <xdr:colOff>1954307</xdr:colOff>
      <xdr:row>30</xdr:row>
      <xdr:rowOff>161364</xdr:rowOff>
    </xdr:to>
    <xdr:sp macro="" textlink="">
      <xdr:nvSpPr>
        <xdr:cNvPr id="61" name="Retângulo 60">
          <a:extLst>
            <a:ext uri="{FF2B5EF4-FFF2-40B4-BE49-F238E27FC236}">
              <a16:creationId xmlns:a16="http://schemas.microsoft.com/office/drawing/2014/main" id="{A3E83774-D33E-4A62-B5DE-557E6D07B8D4}"/>
            </a:ext>
          </a:extLst>
        </xdr:cNvPr>
        <xdr:cNvSpPr/>
      </xdr:nvSpPr>
      <xdr:spPr>
        <a:xfrm>
          <a:off x="1320502" y="3693458"/>
          <a:ext cx="4918934" cy="1434353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5</xdr:col>
      <xdr:colOff>73961</xdr:colOff>
      <xdr:row>22</xdr:row>
      <xdr:rowOff>177947</xdr:rowOff>
    </xdr:from>
    <xdr:to>
      <xdr:col>7</xdr:col>
      <xdr:colOff>1398494</xdr:colOff>
      <xdr:row>27</xdr:row>
      <xdr:rowOff>116541</xdr:rowOff>
    </xdr:to>
    <xdr:sp macro="" textlink="">
      <xdr:nvSpPr>
        <xdr:cNvPr id="71" name="Retângulo 70">
          <a:extLst>
            <a:ext uri="{FF2B5EF4-FFF2-40B4-BE49-F238E27FC236}">
              <a16:creationId xmlns:a16="http://schemas.microsoft.com/office/drawing/2014/main" id="{D4CD4C94-5E16-42C1-AF57-A42F4EFE487C}"/>
            </a:ext>
          </a:extLst>
        </xdr:cNvPr>
        <xdr:cNvSpPr/>
      </xdr:nvSpPr>
      <xdr:spPr>
        <a:xfrm>
          <a:off x="7165043" y="3710041"/>
          <a:ext cx="2678204" cy="83506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</a:t>
          </a:r>
          <a:r>
            <a:rPr lang="pt-BR" sz="1100" baseline="0">
              <a:solidFill>
                <a:schemeClr val="accent2"/>
              </a:solidFill>
            </a:rPr>
            <a:t> os botões para fazer o lançamento na Planilha. Tanto para cadastrar novos clientes, alterar cadastros e pesquisar infomações referentes ao cadastro.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59392</xdr:colOff>
      <xdr:row>22</xdr:row>
      <xdr:rowOff>26895</xdr:rowOff>
    </xdr:from>
    <xdr:to>
      <xdr:col>7</xdr:col>
      <xdr:colOff>64098</xdr:colOff>
      <xdr:row>22</xdr:row>
      <xdr:rowOff>177947</xdr:rowOff>
    </xdr:to>
    <xdr:cxnSp macro="">
      <xdr:nvCxnSpPr>
        <xdr:cNvPr id="72" name="Conector de Seta Reta 71">
          <a:extLst>
            <a:ext uri="{FF2B5EF4-FFF2-40B4-BE49-F238E27FC236}">
              <a16:creationId xmlns:a16="http://schemas.microsoft.com/office/drawing/2014/main" id="{273B6B8A-5663-4078-8473-9ED0F21FD843}"/>
            </a:ext>
          </a:extLst>
        </xdr:cNvPr>
        <xdr:cNvCxnSpPr>
          <a:stCxn id="71" idx="0"/>
          <a:endCxn id="73" idx="2"/>
        </xdr:cNvCxnSpPr>
      </xdr:nvCxnSpPr>
      <xdr:spPr>
        <a:xfrm flipV="1">
          <a:off x="8504145" y="3558989"/>
          <a:ext cx="4706" cy="151052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2584526</xdr:colOff>
      <xdr:row>18</xdr:row>
      <xdr:rowOff>92785</xdr:rowOff>
    </xdr:from>
    <xdr:to>
      <xdr:col>7</xdr:col>
      <xdr:colOff>1703294</xdr:colOff>
      <xdr:row>22</xdr:row>
      <xdr:rowOff>26895</xdr:rowOff>
    </xdr:to>
    <xdr:sp macro="" textlink="">
      <xdr:nvSpPr>
        <xdr:cNvPr id="73" name="Retângulo 72">
          <a:extLst>
            <a:ext uri="{FF2B5EF4-FFF2-40B4-BE49-F238E27FC236}">
              <a16:creationId xmlns:a16="http://schemas.microsoft.com/office/drawing/2014/main" id="{FF1AB76D-FE5C-4AD2-9DB9-D2DE406C03B6}"/>
            </a:ext>
          </a:extLst>
        </xdr:cNvPr>
        <xdr:cNvSpPr/>
      </xdr:nvSpPr>
      <xdr:spPr>
        <a:xfrm>
          <a:off x="6869655" y="2907703"/>
          <a:ext cx="3278392" cy="651286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 editAs="oneCell">
    <xdr:from>
      <xdr:col>1</xdr:col>
      <xdr:colOff>1201272</xdr:colOff>
      <xdr:row>37</xdr:row>
      <xdr:rowOff>98611</xdr:rowOff>
    </xdr:from>
    <xdr:to>
      <xdr:col>7</xdr:col>
      <xdr:colOff>896471</xdr:colOff>
      <xdr:row>60</xdr:row>
      <xdr:rowOff>123978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A94DD0E7-17E6-4896-A5C1-DF8912F95E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6778" y="6329082"/>
          <a:ext cx="8014446" cy="42477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1732431</xdr:colOff>
      <xdr:row>52</xdr:row>
      <xdr:rowOff>120880</xdr:rowOff>
    </xdr:from>
    <xdr:to>
      <xdr:col>5</xdr:col>
      <xdr:colOff>683099</xdr:colOff>
      <xdr:row>56</xdr:row>
      <xdr:rowOff>26894</xdr:rowOff>
    </xdr:to>
    <xdr:sp macro="" textlink="">
      <xdr:nvSpPr>
        <xdr:cNvPr id="85" name="Retângulo 84">
          <a:extLst>
            <a:ext uri="{FF2B5EF4-FFF2-40B4-BE49-F238E27FC236}">
              <a16:creationId xmlns:a16="http://schemas.microsoft.com/office/drawing/2014/main" id="{A37FF322-2575-412A-A754-4B90628C21BD}"/>
            </a:ext>
          </a:extLst>
        </xdr:cNvPr>
        <xdr:cNvSpPr/>
      </xdr:nvSpPr>
      <xdr:spPr>
        <a:xfrm>
          <a:off x="6017560" y="9139374"/>
          <a:ext cx="1756621" cy="623191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Preencha os dados do seu Produto</a:t>
          </a:r>
          <a:r>
            <a:rPr lang="pt-BR" sz="1100" baseline="0">
              <a:solidFill>
                <a:schemeClr val="accent2"/>
              </a:solidFill>
            </a:rPr>
            <a:t> para fazer o Cadastro.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1586753</xdr:colOff>
      <xdr:row>51</xdr:row>
      <xdr:rowOff>94130</xdr:rowOff>
    </xdr:from>
    <xdr:to>
      <xdr:col>4</xdr:col>
      <xdr:colOff>1732431</xdr:colOff>
      <xdr:row>54</xdr:row>
      <xdr:rowOff>73888</xdr:rowOff>
    </xdr:to>
    <xdr:cxnSp macro="">
      <xdr:nvCxnSpPr>
        <xdr:cNvPr id="86" name="Conector de Seta Reta 85">
          <a:extLst>
            <a:ext uri="{FF2B5EF4-FFF2-40B4-BE49-F238E27FC236}">
              <a16:creationId xmlns:a16="http://schemas.microsoft.com/office/drawing/2014/main" id="{BB5A619A-600D-4A9B-8E62-28E4E89EA286}"/>
            </a:ext>
          </a:extLst>
        </xdr:cNvPr>
        <xdr:cNvCxnSpPr>
          <a:stCxn id="85" idx="1"/>
          <a:endCxn id="87" idx="3"/>
        </xdr:cNvCxnSpPr>
      </xdr:nvCxnSpPr>
      <xdr:spPr>
        <a:xfrm flipH="1" flipV="1">
          <a:off x="5871882" y="8933330"/>
          <a:ext cx="145678" cy="51764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1320502</xdr:colOff>
      <xdr:row>46</xdr:row>
      <xdr:rowOff>170330</xdr:rowOff>
    </xdr:from>
    <xdr:to>
      <xdr:col>4</xdr:col>
      <xdr:colOff>1586753</xdr:colOff>
      <xdr:row>56</xdr:row>
      <xdr:rowOff>35859</xdr:rowOff>
    </xdr:to>
    <xdr:sp macro="" textlink="">
      <xdr:nvSpPr>
        <xdr:cNvPr id="87" name="Retângulo 86">
          <a:extLst>
            <a:ext uri="{FF2B5EF4-FFF2-40B4-BE49-F238E27FC236}">
              <a16:creationId xmlns:a16="http://schemas.microsoft.com/office/drawing/2014/main" id="{9620AF7C-7CFE-4F68-B311-05ABA3910C4F}"/>
            </a:ext>
          </a:extLst>
        </xdr:cNvPr>
        <xdr:cNvSpPr/>
      </xdr:nvSpPr>
      <xdr:spPr>
        <a:xfrm>
          <a:off x="1446008" y="8095130"/>
          <a:ext cx="4425874" cy="167640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1732431</xdr:colOff>
      <xdr:row>57</xdr:row>
      <xdr:rowOff>58126</xdr:rowOff>
    </xdr:from>
    <xdr:to>
      <xdr:col>5</xdr:col>
      <xdr:colOff>683099</xdr:colOff>
      <xdr:row>61</xdr:row>
      <xdr:rowOff>17930</xdr:rowOff>
    </xdr:to>
    <xdr:sp macro="" textlink="">
      <xdr:nvSpPr>
        <xdr:cNvPr id="94" name="Retângulo 93">
          <a:extLst>
            <a:ext uri="{FF2B5EF4-FFF2-40B4-BE49-F238E27FC236}">
              <a16:creationId xmlns:a16="http://schemas.microsoft.com/office/drawing/2014/main" id="{DC0B2ED9-42E5-4DC7-BBC8-2919CF86E15D}"/>
            </a:ext>
          </a:extLst>
        </xdr:cNvPr>
        <xdr:cNvSpPr/>
      </xdr:nvSpPr>
      <xdr:spPr>
        <a:xfrm>
          <a:off x="6017560" y="9973091"/>
          <a:ext cx="1756621" cy="67698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Insira a quantidad</a:t>
          </a:r>
          <a:r>
            <a:rPr lang="pt-BR" sz="1100" baseline="0">
              <a:solidFill>
                <a:schemeClr val="accent2"/>
              </a:solidFill>
            </a:rPr>
            <a:t>e de produtos para inserir em seu estoque.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1586753</xdr:colOff>
      <xdr:row>58</xdr:row>
      <xdr:rowOff>129988</xdr:rowOff>
    </xdr:from>
    <xdr:to>
      <xdr:col>4</xdr:col>
      <xdr:colOff>1732431</xdr:colOff>
      <xdr:row>59</xdr:row>
      <xdr:rowOff>38028</xdr:rowOff>
    </xdr:to>
    <xdr:cxnSp macro="">
      <xdr:nvCxnSpPr>
        <xdr:cNvPr id="95" name="Conector de Seta Reta 94">
          <a:extLst>
            <a:ext uri="{FF2B5EF4-FFF2-40B4-BE49-F238E27FC236}">
              <a16:creationId xmlns:a16="http://schemas.microsoft.com/office/drawing/2014/main" id="{856E33C8-AC0D-429C-9C0B-31CB856B2FD7}"/>
            </a:ext>
          </a:extLst>
        </xdr:cNvPr>
        <xdr:cNvCxnSpPr>
          <a:stCxn id="94" idx="1"/>
          <a:endCxn id="96" idx="3"/>
        </xdr:cNvCxnSpPr>
      </xdr:nvCxnSpPr>
      <xdr:spPr>
        <a:xfrm flipH="1" flipV="1">
          <a:off x="5871882" y="10224247"/>
          <a:ext cx="145678" cy="87334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1320502</xdr:colOff>
      <xdr:row>56</xdr:row>
      <xdr:rowOff>71717</xdr:rowOff>
    </xdr:from>
    <xdr:to>
      <xdr:col>4</xdr:col>
      <xdr:colOff>1586753</xdr:colOff>
      <xdr:row>61</xdr:row>
      <xdr:rowOff>8965</xdr:rowOff>
    </xdr:to>
    <xdr:sp macro="" textlink="">
      <xdr:nvSpPr>
        <xdr:cNvPr id="96" name="Retângulo 95">
          <a:extLst>
            <a:ext uri="{FF2B5EF4-FFF2-40B4-BE49-F238E27FC236}">
              <a16:creationId xmlns:a16="http://schemas.microsoft.com/office/drawing/2014/main" id="{2D9D8286-4723-411C-9BC8-43D5474BFCB4}"/>
            </a:ext>
          </a:extLst>
        </xdr:cNvPr>
        <xdr:cNvSpPr/>
      </xdr:nvSpPr>
      <xdr:spPr>
        <a:xfrm>
          <a:off x="1446008" y="9807388"/>
          <a:ext cx="4425874" cy="833718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1246400</xdr:colOff>
      <xdr:row>42</xdr:row>
      <xdr:rowOff>133122</xdr:rowOff>
    </xdr:from>
    <xdr:to>
      <xdr:col>8</xdr:col>
      <xdr:colOff>367553</xdr:colOff>
      <xdr:row>47</xdr:row>
      <xdr:rowOff>62752</xdr:rowOff>
    </xdr:to>
    <xdr:sp macro="" textlink="">
      <xdr:nvSpPr>
        <xdr:cNvPr id="100" name="Retângulo 99">
          <a:extLst>
            <a:ext uri="{FF2B5EF4-FFF2-40B4-BE49-F238E27FC236}">
              <a16:creationId xmlns:a16="http://schemas.microsoft.com/office/drawing/2014/main" id="{F468F71F-D16E-460B-A43C-16F7E2FC5D93}"/>
            </a:ext>
          </a:extLst>
        </xdr:cNvPr>
        <xdr:cNvSpPr/>
      </xdr:nvSpPr>
      <xdr:spPr>
        <a:xfrm>
          <a:off x="9691153" y="7304887"/>
          <a:ext cx="2716000" cy="870924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</a:t>
          </a:r>
          <a:r>
            <a:rPr lang="pt-BR" sz="1100" baseline="0">
              <a:solidFill>
                <a:schemeClr val="accent2"/>
              </a:solidFill>
            </a:rPr>
            <a:t> os botões para fazer o lançamento na Planilha. Tanto para cadastrar novos clientes, alterar cadastros e pesquisar infomações referentes ao cadastro.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851645</xdr:colOff>
      <xdr:row>45</xdr:row>
      <xdr:rowOff>3808</xdr:rowOff>
    </xdr:from>
    <xdr:to>
      <xdr:col>7</xdr:col>
      <xdr:colOff>1246400</xdr:colOff>
      <xdr:row>45</xdr:row>
      <xdr:rowOff>6052</xdr:rowOff>
    </xdr:to>
    <xdr:cxnSp macro="">
      <xdr:nvCxnSpPr>
        <xdr:cNvPr id="101" name="Conector de Seta Reta 100">
          <a:extLst>
            <a:ext uri="{FF2B5EF4-FFF2-40B4-BE49-F238E27FC236}">
              <a16:creationId xmlns:a16="http://schemas.microsoft.com/office/drawing/2014/main" id="{872141BE-E18E-43F1-A079-C290B62E46C9}"/>
            </a:ext>
          </a:extLst>
        </xdr:cNvPr>
        <xdr:cNvCxnSpPr>
          <a:stCxn id="100" idx="1"/>
          <a:endCxn id="102" idx="3"/>
        </xdr:cNvCxnSpPr>
      </xdr:nvCxnSpPr>
      <xdr:spPr>
        <a:xfrm flipH="1">
          <a:off x="9296398" y="7740349"/>
          <a:ext cx="394755" cy="2244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2169458</xdr:colOff>
      <xdr:row>43</xdr:row>
      <xdr:rowOff>101750</xdr:rowOff>
    </xdr:from>
    <xdr:to>
      <xdr:col>7</xdr:col>
      <xdr:colOff>851645</xdr:colOff>
      <xdr:row>46</xdr:row>
      <xdr:rowOff>98612</xdr:rowOff>
    </xdr:to>
    <xdr:sp macro="" textlink="">
      <xdr:nvSpPr>
        <xdr:cNvPr id="102" name="Retângulo 101">
          <a:extLst>
            <a:ext uri="{FF2B5EF4-FFF2-40B4-BE49-F238E27FC236}">
              <a16:creationId xmlns:a16="http://schemas.microsoft.com/office/drawing/2014/main" id="{F57FCF4D-ADCE-4AA7-9E9C-65789082545F}"/>
            </a:ext>
          </a:extLst>
        </xdr:cNvPr>
        <xdr:cNvSpPr/>
      </xdr:nvSpPr>
      <xdr:spPr>
        <a:xfrm>
          <a:off x="6454587" y="7461774"/>
          <a:ext cx="2841811" cy="561638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2619937</xdr:colOff>
      <xdr:row>74</xdr:row>
      <xdr:rowOff>93985</xdr:rowOff>
    </xdr:from>
    <xdr:to>
      <xdr:col>7</xdr:col>
      <xdr:colOff>1559858</xdr:colOff>
      <xdr:row>78</xdr:row>
      <xdr:rowOff>26894</xdr:rowOff>
    </xdr:to>
    <xdr:sp macro="" textlink="">
      <xdr:nvSpPr>
        <xdr:cNvPr id="111" name="Retângulo 110">
          <a:extLst>
            <a:ext uri="{FF2B5EF4-FFF2-40B4-BE49-F238E27FC236}">
              <a16:creationId xmlns:a16="http://schemas.microsoft.com/office/drawing/2014/main" id="{CCB02802-4B26-41D1-914E-6983D8B5546F}"/>
            </a:ext>
          </a:extLst>
        </xdr:cNvPr>
        <xdr:cNvSpPr/>
      </xdr:nvSpPr>
      <xdr:spPr>
        <a:xfrm>
          <a:off x="6905066" y="13056950"/>
          <a:ext cx="3099545" cy="65008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Clique na Lupa para</a:t>
          </a:r>
          <a:r>
            <a:rPr lang="pt-BR" sz="1100" baseline="0">
              <a:solidFill>
                <a:schemeClr val="accent2"/>
              </a:solidFill>
            </a:rPr>
            <a:t> pesquisar tanto o cliente como o produto para fazer o lançamento das vendas. Após isso, clique no botão de "+".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2097742</xdr:colOff>
      <xdr:row>76</xdr:row>
      <xdr:rowOff>60440</xdr:rowOff>
    </xdr:from>
    <xdr:to>
      <xdr:col>4</xdr:col>
      <xdr:colOff>2619937</xdr:colOff>
      <xdr:row>76</xdr:row>
      <xdr:rowOff>71718</xdr:rowOff>
    </xdr:to>
    <xdr:cxnSp macro="">
      <xdr:nvCxnSpPr>
        <xdr:cNvPr id="112" name="Conector de Seta Reta 111">
          <a:extLst>
            <a:ext uri="{FF2B5EF4-FFF2-40B4-BE49-F238E27FC236}">
              <a16:creationId xmlns:a16="http://schemas.microsoft.com/office/drawing/2014/main" id="{03255250-4F56-4C5F-ACA4-7223909B4EC2}"/>
            </a:ext>
          </a:extLst>
        </xdr:cNvPr>
        <xdr:cNvCxnSpPr>
          <a:stCxn id="111" idx="1"/>
          <a:endCxn id="113" idx="3"/>
        </xdr:cNvCxnSpPr>
      </xdr:nvCxnSpPr>
      <xdr:spPr>
        <a:xfrm flipH="1">
          <a:off x="6382871" y="13381993"/>
          <a:ext cx="522195" cy="11278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1030941</xdr:colOff>
      <xdr:row>74</xdr:row>
      <xdr:rowOff>62753</xdr:rowOff>
    </xdr:from>
    <xdr:to>
      <xdr:col>4</xdr:col>
      <xdr:colOff>2097742</xdr:colOff>
      <xdr:row>78</xdr:row>
      <xdr:rowOff>80683</xdr:rowOff>
    </xdr:to>
    <xdr:sp macro="" textlink="">
      <xdr:nvSpPr>
        <xdr:cNvPr id="113" name="Retângulo 112">
          <a:extLst>
            <a:ext uri="{FF2B5EF4-FFF2-40B4-BE49-F238E27FC236}">
              <a16:creationId xmlns:a16="http://schemas.microsoft.com/office/drawing/2014/main" id="{3B0AB453-EB13-44A2-ABE6-791AFB55D783}"/>
            </a:ext>
          </a:extLst>
        </xdr:cNvPr>
        <xdr:cNvSpPr/>
      </xdr:nvSpPr>
      <xdr:spPr>
        <a:xfrm>
          <a:off x="1156447" y="13025718"/>
          <a:ext cx="5226424" cy="735106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2303928</xdr:colOff>
      <xdr:row>83</xdr:row>
      <xdr:rowOff>120879</xdr:rowOff>
    </xdr:from>
    <xdr:to>
      <xdr:col>7</xdr:col>
      <xdr:colOff>26893</xdr:colOff>
      <xdr:row>86</xdr:row>
      <xdr:rowOff>134471</xdr:rowOff>
    </xdr:to>
    <xdr:sp macro="" textlink="">
      <xdr:nvSpPr>
        <xdr:cNvPr id="133" name="Retângulo 132">
          <a:extLst>
            <a:ext uri="{FF2B5EF4-FFF2-40B4-BE49-F238E27FC236}">
              <a16:creationId xmlns:a16="http://schemas.microsoft.com/office/drawing/2014/main" id="{BAD40DF5-F487-40A1-AC68-0CC5142DDEA4}"/>
            </a:ext>
          </a:extLst>
        </xdr:cNvPr>
        <xdr:cNvSpPr/>
      </xdr:nvSpPr>
      <xdr:spPr>
        <a:xfrm>
          <a:off x="6589057" y="14697491"/>
          <a:ext cx="1882589" cy="551474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Após</a:t>
          </a:r>
          <a:r>
            <a:rPr lang="pt-BR" sz="1100" baseline="0">
              <a:solidFill>
                <a:schemeClr val="accent2"/>
              </a:solidFill>
            </a:rPr>
            <a:t> isso, insira a quantidade de venda de cada produto.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5</xdr:col>
      <xdr:colOff>439270</xdr:colOff>
      <xdr:row>82</xdr:row>
      <xdr:rowOff>116542</xdr:rowOff>
    </xdr:from>
    <xdr:to>
      <xdr:col>5</xdr:col>
      <xdr:colOff>443753</xdr:colOff>
      <xdr:row>83</xdr:row>
      <xdr:rowOff>120879</xdr:rowOff>
    </xdr:to>
    <xdr:cxnSp macro="">
      <xdr:nvCxnSpPr>
        <xdr:cNvPr id="134" name="Conector de Seta Reta 133">
          <a:extLst>
            <a:ext uri="{FF2B5EF4-FFF2-40B4-BE49-F238E27FC236}">
              <a16:creationId xmlns:a16="http://schemas.microsoft.com/office/drawing/2014/main" id="{9CA13E20-0BEA-42B1-8B15-3E9A830A60FB}"/>
            </a:ext>
          </a:extLst>
        </xdr:cNvPr>
        <xdr:cNvCxnSpPr>
          <a:stCxn id="133" idx="0"/>
          <a:endCxn id="135" idx="2"/>
        </xdr:cNvCxnSpPr>
      </xdr:nvCxnSpPr>
      <xdr:spPr>
        <a:xfrm flipV="1">
          <a:off x="7530352" y="14513860"/>
          <a:ext cx="4483" cy="183631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98612</xdr:colOff>
      <xdr:row>78</xdr:row>
      <xdr:rowOff>161367</xdr:rowOff>
    </xdr:from>
    <xdr:to>
      <xdr:col>5</xdr:col>
      <xdr:colOff>788894</xdr:colOff>
      <xdr:row>82</xdr:row>
      <xdr:rowOff>116542</xdr:rowOff>
    </xdr:to>
    <xdr:sp macro="" textlink="">
      <xdr:nvSpPr>
        <xdr:cNvPr id="135" name="Retângulo 134">
          <a:extLst>
            <a:ext uri="{FF2B5EF4-FFF2-40B4-BE49-F238E27FC236}">
              <a16:creationId xmlns:a16="http://schemas.microsoft.com/office/drawing/2014/main" id="{BBDAA9EF-6547-4BC3-9DB7-54522050B5A0}"/>
            </a:ext>
          </a:extLst>
        </xdr:cNvPr>
        <xdr:cNvSpPr/>
      </xdr:nvSpPr>
      <xdr:spPr>
        <a:xfrm>
          <a:off x="7189694" y="13841508"/>
          <a:ext cx="690282" cy="672352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2662516</xdr:colOff>
      <xdr:row>70</xdr:row>
      <xdr:rowOff>93984</xdr:rowOff>
    </xdr:from>
    <xdr:to>
      <xdr:col>8</xdr:col>
      <xdr:colOff>950258</xdr:colOff>
      <xdr:row>74</xdr:row>
      <xdr:rowOff>17928</xdr:rowOff>
    </xdr:to>
    <xdr:sp macro="" textlink="">
      <xdr:nvSpPr>
        <xdr:cNvPr id="148" name="Retângulo 147">
          <a:extLst>
            <a:ext uri="{FF2B5EF4-FFF2-40B4-BE49-F238E27FC236}">
              <a16:creationId xmlns:a16="http://schemas.microsoft.com/office/drawing/2014/main" id="{35DF796A-560A-430E-B86B-8F7510522C09}"/>
            </a:ext>
          </a:extLst>
        </xdr:cNvPr>
        <xdr:cNvSpPr/>
      </xdr:nvSpPr>
      <xdr:spPr>
        <a:xfrm>
          <a:off x="11107269" y="12339772"/>
          <a:ext cx="1882589" cy="641121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 o botão "Salvar"</a:t>
          </a:r>
          <a:r>
            <a:rPr lang="pt-BR" sz="1100" baseline="0">
              <a:solidFill>
                <a:schemeClr val="accent2"/>
              </a:solidFill>
            </a:rPr>
            <a:t> para salvar os dados e o botão "Limpar" para limpar a tela.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2124636</xdr:colOff>
      <xdr:row>72</xdr:row>
      <xdr:rowOff>22413</xdr:rowOff>
    </xdr:from>
    <xdr:to>
      <xdr:col>7</xdr:col>
      <xdr:colOff>2662516</xdr:colOff>
      <xdr:row>72</xdr:row>
      <xdr:rowOff>55957</xdr:rowOff>
    </xdr:to>
    <xdr:cxnSp macro="">
      <xdr:nvCxnSpPr>
        <xdr:cNvPr id="149" name="Conector de Seta Reta 148">
          <a:extLst>
            <a:ext uri="{FF2B5EF4-FFF2-40B4-BE49-F238E27FC236}">
              <a16:creationId xmlns:a16="http://schemas.microsoft.com/office/drawing/2014/main" id="{8554AAB4-1CCC-46B1-B6E0-CC439973AB7D}"/>
            </a:ext>
          </a:extLst>
        </xdr:cNvPr>
        <xdr:cNvCxnSpPr>
          <a:stCxn id="148" idx="1"/>
          <a:endCxn id="150" idx="3"/>
        </xdr:cNvCxnSpPr>
      </xdr:nvCxnSpPr>
      <xdr:spPr>
        <a:xfrm flipH="1" flipV="1">
          <a:off x="10569389" y="12626789"/>
          <a:ext cx="537880" cy="33544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654424</xdr:colOff>
      <xdr:row>70</xdr:row>
      <xdr:rowOff>44825</xdr:rowOff>
    </xdr:from>
    <xdr:to>
      <xdr:col>7</xdr:col>
      <xdr:colOff>2124636</xdr:colOff>
      <xdr:row>74</xdr:row>
      <xdr:rowOff>0</xdr:rowOff>
    </xdr:to>
    <xdr:sp macro="" textlink="">
      <xdr:nvSpPr>
        <xdr:cNvPr id="150" name="Retângulo 149">
          <a:extLst>
            <a:ext uri="{FF2B5EF4-FFF2-40B4-BE49-F238E27FC236}">
              <a16:creationId xmlns:a16="http://schemas.microsoft.com/office/drawing/2014/main" id="{2B56A069-A531-4167-A8AF-A6078B8CCAD8}"/>
            </a:ext>
          </a:extLst>
        </xdr:cNvPr>
        <xdr:cNvSpPr/>
      </xdr:nvSpPr>
      <xdr:spPr>
        <a:xfrm>
          <a:off x="9099177" y="12290613"/>
          <a:ext cx="1470212" cy="672352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 editAs="oneCell">
    <xdr:from>
      <xdr:col>1</xdr:col>
      <xdr:colOff>528920</xdr:colOff>
      <xdr:row>91</xdr:row>
      <xdr:rowOff>44824</xdr:rowOff>
    </xdr:from>
    <xdr:to>
      <xdr:col>7</xdr:col>
      <xdr:colOff>762001</xdr:colOff>
      <xdr:row>117</xdr:row>
      <xdr:rowOff>85461</xdr:rowOff>
    </xdr:to>
    <xdr:pic>
      <xdr:nvPicPr>
        <xdr:cNvPr id="160" name="Imagem 159">
          <a:extLst>
            <a:ext uri="{FF2B5EF4-FFF2-40B4-BE49-F238E27FC236}">
              <a16:creationId xmlns:a16="http://schemas.microsoft.com/office/drawing/2014/main" id="{6301DEE8-682C-4729-A95B-C06C83B39B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4426" y="16055789"/>
          <a:ext cx="8552328" cy="4702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555810</xdr:colOff>
      <xdr:row>87</xdr:row>
      <xdr:rowOff>120880</xdr:rowOff>
    </xdr:from>
    <xdr:to>
      <xdr:col>1</xdr:col>
      <xdr:colOff>2438399</xdr:colOff>
      <xdr:row>90</xdr:row>
      <xdr:rowOff>71718</xdr:rowOff>
    </xdr:to>
    <xdr:sp macro="" textlink="">
      <xdr:nvSpPr>
        <xdr:cNvPr id="161" name="Retângulo 160">
          <a:extLst>
            <a:ext uri="{FF2B5EF4-FFF2-40B4-BE49-F238E27FC236}">
              <a16:creationId xmlns:a16="http://schemas.microsoft.com/office/drawing/2014/main" id="{B09E922E-A2C4-4F5E-AAE6-3FB1A6DE2A48}"/>
            </a:ext>
          </a:extLst>
        </xdr:cNvPr>
        <xdr:cNvSpPr/>
      </xdr:nvSpPr>
      <xdr:spPr>
        <a:xfrm>
          <a:off x="681316" y="15414668"/>
          <a:ext cx="1882589" cy="488721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Faça</a:t>
          </a:r>
          <a:r>
            <a:rPr lang="pt-BR" sz="1100" baseline="0">
              <a:solidFill>
                <a:schemeClr val="accent2"/>
              </a:solidFill>
            </a:rPr>
            <a:t> a Análise dos seus dados a partir dos gráficos.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viane Canna Brasil Sousa" refreshedDate="44546.668419097223" createdVersion="7" refreshedVersion="6" minRefreshableVersion="3" recordCount="26" xr:uid="{2D9C3D82-B582-49E3-B786-3BE696ED8980}">
  <cacheSource type="worksheet">
    <worksheetSource ref="A1:G1048576" sheet="BDMovEstoque"/>
  </cacheSource>
  <cacheFields count="8">
    <cacheField name="Código Produto" numFmtId="0">
      <sharedItems containsString="0" containsBlank="1" containsNumber="1" containsInteger="1" minValue="1" maxValue="2"/>
    </cacheField>
    <cacheField name="Descrição" numFmtId="0">
      <sharedItems containsBlank="1" count="11">
        <s v="Produto 2"/>
        <s v="Produto 1"/>
        <m/>
        <s v="Produto Teste 5" u="1"/>
        <s v="xx" u="1"/>
        <s v="Arroz" u="1"/>
        <s v="Produto Teste 4" u="1"/>
        <s v="Produto Teste 3" u="1"/>
        <s v="Produto Teste 2" u="1"/>
        <s v="Produto Teste 1" u="1"/>
        <s v="Produto Teste" u="1"/>
      </sharedItems>
    </cacheField>
    <cacheField name="Quantidade" numFmtId="0">
      <sharedItems containsString="0" containsBlank="1" containsNumber="1" containsInteger="1" minValue="5" maxValue="100"/>
    </cacheField>
    <cacheField name="Valor" numFmtId="0">
      <sharedItems containsString="0" containsBlank="1" containsNumber="1" containsInteger="1" minValue="10" maxValue="50"/>
    </cacheField>
    <cacheField name="Data Entrada" numFmtId="0">
      <sharedItems containsNonDate="0" containsDate="1" containsString="0" containsBlank="1" minDate="2021-11-08T00:00:00" maxDate="2021-11-09T00:00:00" count="2">
        <d v="2021-11-08T00:00:00"/>
        <m/>
      </sharedItems>
      <fieldGroup par="7" base="4">
        <rangePr groupBy="days" startDate="2021-11-08T00:00:00" endDate="2021-11-09T00:00:00"/>
        <groupItems count="368">
          <s v="(vazio)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09/11/2021"/>
        </groupItems>
      </fieldGroup>
    </cacheField>
    <cacheField name="Data Saída" numFmtId="0">
      <sharedItems containsNonDate="0" containsDate="1" containsString="0" containsBlank="1" minDate="2021-11-08T00:00:00" maxDate="2021-11-09T00:00:00"/>
    </cacheField>
    <cacheField name="Tipo" numFmtId="0">
      <sharedItems containsBlank="1" count="3">
        <s v="Entrada"/>
        <s v="Saída"/>
        <m/>
      </sharedItems>
    </cacheField>
    <cacheField name="Meses" numFmtId="0" databaseField="0">
      <fieldGroup base="4">
        <rangePr groupBy="months" startDate="2021-11-08T00:00:00" endDate="2021-11-09T00:00:00"/>
        <groupItems count="14">
          <s v="&lt;08/11/2021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9/11/20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viane Canna Brasil Sousa" refreshedDate="44546.668419675923" createdVersion="7" refreshedVersion="6" minRefreshableVersion="3" recordCount="501" xr:uid="{3683358E-497D-4F4B-97AE-A02C78A77F33}">
  <cacheSource type="worksheet">
    <worksheetSource ref="B1:F1048576" sheet="BDProdutos"/>
  </cacheSource>
  <cacheFields count="5">
    <cacheField name="Descrição" numFmtId="0">
      <sharedItems containsBlank="1" containsMixedTypes="1" containsNumber="1" containsInteger="1" minValue="1" maxValue="5" count="12">
        <s v="Produto 1"/>
        <s v="Produto 2"/>
        <s v="Produto 3"/>
        <s v="Produto 4"/>
        <s v="Produto 5"/>
        <s v="Produto 6"/>
        <m/>
        <n v="3" u="1"/>
        <n v="4" u="1"/>
        <n v="2" u="1"/>
        <n v="1" u="1"/>
        <n v="5" u="1"/>
      </sharedItems>
    </cacheField>
    <cacheField name="Valor" numFmtId="0">
      <sharedItems containsString="0" containsBlank="1" containsNumber="1" containsInteger="1" minValue="10" maxValue="100"/>
    </cacheField>
    <cacheField name="Estoque Mínimo" numFmtId="0">
      <sharedItems containsString="0" containsBlank="1" containsNumber="1" containsInteger="1" minValue="2" maxValue="50"/>
    </cacheField>
    <cacheField name="Fornecedor" numFmtId="165">
      <sharedItems containsBlank="1"/>
    </cacheField>
    <cacheField name="Saldo Estoque" numFmtId="0">
      <sharedItems containsString="0" containsBlank="1" containsNumber="1" containsInteger="1" minValue="0" maxValue="8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viane Canna Brasil Sousa" refreshedDate="44546.668419791669" createdVersion="7" refreshedVersion="6" minRefreshableVersion="3" recordCount="501" xr:uid="{D1758676-05D8-4ED1-A856-C2444D4B9046}">
  <cacheSource type="worksheet">
    <worksheetSource ref="A1:H1048576" sheet="BDProdutos"/>
  </cacheSource>
  <cacheFields count="8">
    <cacheField name="Código" numFmtId="0">
      <sharedItems containsString="0" containsBlank="1" containsNumber="1" containsInteger="1" minValue="1" maxValue="500"/>
    </cacheField>
    <cacheField name="Descrição" numFmtId="0">
      <sharedItems containsBlank="1" count="7">
        <s v="Produto 1"/>
        <s v="Produto 2"/>
        <s v="Produto 3"/>
        <s v="Produto 4"/>
        <s v="Produto 5"/>
        <s v="Produto 6"/>
        <m/>
      </sharedItems>
    </cacheField>
    <cacheField name="Valor" numFmtId="0">
      <sharedItems containsString="0" containsBlank="1" containsNumber="1" containsInteger="1" minValue="10" maxValue="100"/>
    </cacheField>
    <cacheField name="Estoque Mínimo" numFmtId="0">
      <sharedItems containsString="0" containsBlank="1" containsNumber="1" containsInteger="1" minValue="2" maxValue="50"/>
    </cacheField>
    <cacheField name="Fornecedor" numFmtId="165">
      <sharedItems containsBlank="1"/>
    </cacheField>
    <cacheField name="Saldo Estoque" numFmtId="0">
      <sharedItems containsString="0" containsBlank="1" containsNumber="1" containsInteger="1" minValue="0" maxValue="80"/>
    </cacheField>
    <cacheField name="Estoque Crítico" numFmtId="0">
      <sharedItems containsBlank="1" count="3">
        <s v=""/>
        <s v="Sim"/>
        <m/>
      </sharedItems>
    </cacheField>
    <cacheField name="Saldo Estoque R$" numFmtId="0">
      <sharedItems containsString="0" containsBlank="1" containsNumber="1" containsInteger="1" minValue="0" maxValue="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">
  <r>
    <n v="2"/>
    <x v="0"/>
    <n v="15"/>
    <n v="10"/>
    <x v="0"/>
    <m/>
    <x v="0"/>
  </r>
  <r>
    <n v="2"/>
    <x v="0"/>
    <n v="5"/>
    <n v="10"/>
    <x v="1"/>
    <d v="2021-11-08T00:00:00"/>
    <x v="1"/>
  </r>
  <r>
    <n v="1"/>
    <x v="1"/>
    <n v="100"/>
    <n v="50"/>
    <x v="0"/>
    <m/>
    <x v="0"/>
  </r>
  <r>
    <n v="1"/>
    <x v="1"/>
    <n v="20"/>
    <n v="50"/>
    <x v="1"/>
    <d v="2021-11-08T00:00:00"/>
    <x v="1"/>
  </r>
  <r>
    <m/>
    <x v="2"/>
    <m/>
    <m/>
    <x v="1"/>
    <m/>
    <x v="2"/>
  </r>
  <r>
    <m/>
    <x v="2"/>
    <m/>
    <m/>
    <x v="1"/>
    <m/>
    <x v="2"/>
  </r>
  <r>
    <m/>
    <x v="2"/>
    <m/>
    <m/>
    <x v="1"/>
    <m/>
    <x v="2"/>
  </r>
  <r>
    <m/>
    <x v="2"/>
    <m/>
    <m/>
    <x v="1"/>
    <m/>
    <x v="2"/>
  </r>
  <r>
    <m/>
    <x v="2"/>
    <m/>
    <m/>
    <x v="1"/>
    <m/>
    <x v="2"/>
  </r>
  <r>
    <m/>
    <x v="2"/>
    <m/>
    <m/>
    <x v="1"/>
    <m/>
    <x v="2"/>
  </r>
  <r>
    <m/>
    <x v="2"/>
    <m/>
    <m/>
    <x v="1"/>
    <m/>
    <x v="2"/>
  </r>
  <r>
    <m/>
    <x v="2"/>
    <m/>
    <m/>
    <x v="1"/>
    <m/>
    <x v="2"/>
  </r>
  <r>
    <m/>
    <x v="2"/>
    <m/>
    <m/>
    <x v="1"/>
    <m/>
    <x v="2"/>
  </r>
  <r>
    <m/>
    <x v="2"/>
    <m/>
    <m/>
    <x v="1"/>
    <m/>
    <x v="2"/>
  </r>
  <r>
    <m/>
    <x v="2"/>
    <m/>
    <m/>
    <x v="1"/>
    <m/>
    <x v="2"/>
  </r>
  <r>
    <m/>
    <x v="2"/>
    <m/>
    <m/>
    <x v="1"/>
    <m/>
    <x v="2"/>
  </r>
  <r>
    <m/>
    <x v="2"/>
    <m/>
    <m/>
    <x v="1"/>
    <m/>
    <x v="2"/>
  </r>
  <r>
    <m/>
    <x v="2"/>
    <m/>
    <m/>
    <x v="1"/>
    <m/>
    <x v="2"/>
  </r>
  <r>
    <m/>
    <x v="2"/>
    <m/>
    <m/>
    <x v="1"/>
    <m/>
    <x v="2"/>
  </r>
  <r>
    <m/>
    <x v="2"/>
    <m/>
    <m/>
    <x v="1"/>
    <m/>
    <x v="2"/>
  </r>
  <r>
    <m/>
    <x v="2"/>
    <m/>
    <m/>
    <x v="1"/>
    <m/>
    <x v="2"/>
  </r>
  <r>
    <m/>
    <x v="2"/>
    <m/>
    <m/>
    <x v="1"/>
    <m/>
    <x v="2"/>
  </r>
  <r>
    <m/>
    <x v="2"/>
    <m/>
    <m/>
    <x v="1"/>
    <m/>
    <x v="2"/>
  </r>
  <r>
    <m/>
    <x v="2"/>
    <m/>
    <m/>
    <x v="1"/>
    <m/>
    <x v="2"/>
  </r>
  <r>
    <m/>
    <x v="2"/>
    <m/>
    <m/>
    <x v="1"/>
    <m/>
    <x v="2"/>
  </r>
  <r>
    <m/>
    <x v="2"/>
    <m/>
    <m/>
    <x v="1"/>
    <m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1">
  <r>
    <x v="0"/>
    <n v="50"/>
    <n v="30"/>
    <s v="Fornecedor ABC"/>
    <n v="80"/>
  </r>
  <r>
    <x v="1"/>
    <n v="10"/>
    <n v="20"/>
    <s v="Fornecedor ABC"/>
    <n v="10"/>
  </r>
  <r>
    <x v="2"/>
    <n v="15"/>
    <n v="50"/>
    <s v="Fornecedor ABC"/>
    <n v="0"/>
  </r>
  <r>
    <x v="3"/>
    <n v="100"/>
    <n v="5"/>
    <s v="Fornecedor ABC"/>
    <n v="0"/>
  </r>
  <r>
    <x v="4"/>
    <n v="30"/>
    <n v="2"/>
    <s v="Fornecedor ABC"/>
    <n v="0"/>
  </r>
  <r>
    <x v="5"/>
    <n v="25"/>
    <n v="2"/>
    <s v="Fornecedor ABC"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n v="0"/>
  </r>
  <r>
    <x v="6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1">
  <r>
    <n v="1"/>
    <x v="0"/>
    <n v="50"/>
    <n v="30"/>
    <s v="Fornecedor ABC"/>
    <n v="80"/>
    <x v="0"/>
    <n v="4000"/>
  </r>
  <r>
    <n v="2"/>
    <x v="1"/>
    <n v="10"/>
    <n v="20"/>
    <s v="Fornecedor ABC"/>
    <n v="10"/>
    <x v="1"/>
    <n v="100"/>
  </r>
  <r>
    <n v="3"/>
    <x v="2"/>
    <n v="15"/>
    <n v="50"/>
    <s v="Fornecedor ABC"/>
    <n v="0"/>
    <x v="1"/>
    <n v="0"/>
  </r>
  <r>
    <n v="4"/>
    <x v="3"/>
    <n v="100"/>
    <n v="5"/>
    <s v="Fornecedor ABC"/>
    <n v="0"/>
    <x v="1"/>
    <n v="0"/>
  </r>
  <r>
    <n v="5"/>
    <x v="4"/>
    <n v="30"/>
    <n v="2"/>
    <s v="Fornecedor ABC"/>
    <n v="0"/>
    <x v="1"/>
    <n v="0"/>
  </r>
  <r>
    <n v="6"/>
    <x v="5"/>
    <n v="25"/>
    <n v="2"/>
    <s v="Fornecedor ABC"/>
    <n v="0"/>
    <x v="1"/>
    <n v="0"/>
  </r>
  <r>
    <n v="7"/>
    <x v="6"/>
    <m/>
    <m/>
    <m/>
    <n v="0"/>
    <x v="0"/>
    <n v="0"/>
  </r>
  <r>
    <n v="8"/>
    <x v="6"/>
    <m/>
    <m/>
    <m/>
    <n v="0"/>
    <x v="0"/>
    <n v="0"/>
  </r>
  <r>
    <n v="9"/>
    <x v="6"/>
    <m/>
    <m/>
    <m/>
    <n v="0"/>
    <x v="0"/>
    <n v="0"/>
  </r>
  <r>
    <n v="10"/>
    <x v="6"/>
    <m/>
    <m/>
    <m/>
    <n v="0"/>
    <x v="0"/>
    <n v="0"/>
  </r>
  <r>
    <n v="11"/>
    <x v="6"/>
    <m/>
    <m/>
    <m/>
    <n v="0"/>
    <x v="0"/>
    <n v="0"/>
  </r>
  <r>
    <n v="12"/>
    <x v="6"/>
    <m/>
    <m/>
    <m/>
    <n v="0"/>
    <x v="0"/>
    <n v="0"/>
  </r>
  <r>
    <n v="13"/>
    <x v="6"/>
    <m/>
    <m/>
    <m/>
    <n v="0"/>
    <x v="0"/>
    <n v="0"/>
  </r>
  <r>
    <n v="14"/>
    <x v="6"/>
    <m/>
    <m/>
    <m/>
    <n v="0"/>
    <x v="0"/>
    <n v="0"/>
  </r>
  <r>
    <n v="15"/>
    <x v="6"/>
    <m/>
    <m/>
    <m/>
    <n v="0"/>
    <x v="0"/>
    <n v="0"/>
  </r>
  <r>
    <n v="16"/>
    <x v="6"/>
    <m/>
    <m/>
    <m/>
    <n v="0"/>
    <x v="0"/>
    <n v="0"/>
  </r>
  <r>
    <n v="17"/>
    <x v="6"/>
    <m/>
    <m/>
    <m/>
    <n v="0"/>
    <x v="0"/>
    <n v="0"/>
  </r>
  <r>
    <n v="18"/>
    <x v="6"/>
    <m/>
    <m/>
    <m/>
    <n v="0"/>
    <x v="0"/>
    <n v="0"/>
  </r>
  <r>
    <n v="19"/>
    <x v="6"/>
    <m/>
    <m/>
    <m/>
    <n v="0"/>
    <x v="0"/>
    <n v="0"/>
  </r>
  <r>
    <n v="20"/>
    <x v="6"/>
    <m/>
    <m/>
    <m/>
    <n v="0"/>
    <x v="0"/>
    <n v="0"/>
  </r>
  <r>
    <n v="21"/>
    <x v="6"/>
    <m/>
    <m/>
    <m/>
    <n v="0"/>
    <x v="0"/>
    <n v="0"/>
  </r>
  <r>
    <n v="22"/>
    <x v="6"/>
    <m/>
    <m/>
    <m/>
    <n v="0"/>
    <x v="0"/>
    <n v="0"/>
  </r>
  <r>
    <n v="23"/>
    <x v="6"/>
    <m/>
    <m/>
    <m/>
    <n v="0"/>
    <x v="0"/>
    <n v="0"/>
  </r>
  <r>
    <n v="24"/>
    <x v="6"/>
    <m/>
    <m/>
    <m/>
    <n v="0"/>
    <x v="0"/>
    <n v="0"/>
  </r>
  <r>
    <n v="25"/>
    <x v="6"/>
    <m/>
    <m/>
    <m/>
    <n v="0"/>
    <x v="0"/>
    <n v="0"/>
  </r>
  <r>
    <n v="26"/>
    <x v="6"/>
    <m/>
    <m/>
    <m/>
    <n v="0"/>
    <x v="0"/>
    <n v="0"/>
  </r>
  <r>
    <n v="27"/>
    <x v="6"/>
    <m/>
    <m/>
    <m/>
    <n v="0"/>
    <x v="0"/>
    <n v="0"/>
  </r>
  <r>
    <n v="28"/>
    <x v="6"/>
    <m/>
    <m/>
    <m/>
    <n v="0"/>
    <x v="0"/>
    <n v="0"/>
  </r>
  <r>
    <n v="29"/>
    <x v="6"/>
    <m/>
    <m/>
    <m/>
    <n v="0"/>
    <x v="0"/>
    <n v="0"/>
  </r>
  <r>
    <n v="30"/>
    <x v="6"/>
    <m/>
    <m/>
    <m/>
    <n v="0"/>
    <x v="0"/>
    <n v="0"/>
  </r>
  <r>
    <n v="31"/>
    <x v="6"/>
    <m/>
    <m/>
    <m/>
    <n v="0"/>
    <x v="0"/>
    <n v="0"/>
  </r>
  <r>
    <n v="32"/>
    <x v="6"/>
    <m/>
    <m/>
    <m/>
    <n v="0"/>
    <x v="0"/>
    <n v="0"/>
  </r>
  <r>
    <n v="33"/>
    <x v="6"/>
    <m/>
    <m/>
    <m/>
    <n v="0"/>
    <x v="0"/>
    <n v="0"/>
  </r>
  <r>
    <n v="34"/>
    <x v="6"/>
    <m/>
    <m/>
    <m/>
    <n v="0"/>
    <x v="0"/>
    <n v="0"/>
  </r>
  <r>
    <n v="35"/>
    <x v="6"/>
    <m/>
    <m/>
    <m/>
    <n v="0"/>
    <x v="0"/>
    <n v="0"/>
  </r>
  <r>
    <n v="36"/>
    <x v="6"/>
    <m/>
    <m/>
    <m/>
    <n v="0"/>
    <x v="0"/>
    <n v="0"/>
  </r>
  <r>
    <n v="37"/>
    <x v="6"/>
    <m/>
    <m/>
    <m/>
    <n v="0"/>
    <x v="0"/>
    <n v="0"/>
  </r>
  <r>
    <n v="38"/>
    <x v="6"/>
    <m/>
    <m/>
    <m/>
    <n v="0"/>
    <x v="0"/>
    <n v="0"/>
  </r>
  <r>
    <n v="39"/>
    <x v="6"/>
    <m/>
    <m/>
    <m/>
    <n v="0"/>
    <x v="0"/>
    <n v="0"/>
  </r>
  <r>
    <n v="40"/>
    <x v="6"/>
    <m/>
    <m/>
    <m/>
    <n v="0"/>
    <x v="0"/>
    <n v="0"/>
  </r>
  <r>
    <n v="41"/>
    <x v="6"/>
    <m/>
    <m/>
    <m/>
    <n v="0"/>
    <x v="0"/>
    <n v="0"/>
  </r>
  <r>
    <n v="42"/>
    <x v="6"/>
    <m/>
    <m/>
    <m/>
    <n v="0"/>
    <x v="0"/>
    <n v="0"/>
  </r>
  <r>
    <n v="43"/>
    <x v="6"/>
    <m/>
    <m/>
    <m/>
    <n v="0"/>
    <x v="0"/>
    <n v="0"/>
  </r>
  <r>
    <n v="44"/>
    <x v="6"/>
    <m/>
    <m/>
    <m/>
    <n v="0"/>
    <x v="0"/>
    <n v="0"/>
  </r>
  <r>
    <n v="45"/>
    <x v="6"/>
    <m/>
    <m/>
    <m/>
    <n v="0"/>
    <x v="0"/>
    <n v="0"/>
  </r>
  <r>
    <n v="46"/>
    <x v="6"/>
    <m/>
    <m/>
    <m/>
    <n v="0"/>
    <x v="0"/>
    <n v="0"/>
  </r>
  <r>
    <n v="47"/>
    <x v="6"/>
    <m/>
    <m/>
    <m/>
    <n v="0"/>
    <x v="0"/>
    <n v="0"/>
  </r>
  <r>
    <n v="48"/>
    <x v="6"/>
    <m/>
    <m/>
    <m/>
    <n v="0"/>
    <x v="0"/>
    <n v="0"/>
  </r>
  <r>
    <n v="49"/>
    <x v="6"/>
    <m/>
    <m/>
    <m/>
    <n v="0"/>
    <x v="0"/>
    <n v="0"/>
  </r>
  <r>
    <n v="50"/>
    <x v="6"/>
    <m/>
    <m/>
    <m/>
    <n v="0"/>
    <x v="0"/>
    <n v="0"/>
  </r>
  <r>
    <n v="51"/>
    <x v="6"/>
    <m/>
    <m/>
    <m/>
    <n v="0"/>
    <x v="0"/>
    <n v="0"/>
  </r>
  <r>
    <n v="52"/>
    <x v="6"/>
    <m/>
    <m/>
    <m/>
    <n v="0"/>
    <x v="0"/>
    <n v="0"/>
  </r>
  <r>
    <n v="53"/>
    <x v="6"/>
    <m/>
    <m/>
    <m/>
    <n v="0"/>
    <x v="0"/>
    <n v="0"/>
  </r>
  <r>
    <n v="54"/>
    <x v="6"/>
    <m/>
    <m/>
    <m/>
    <n v="0"/>
    <x v="0"/>
    <n v="0"/>
  </r>
  <r>
    <n v="55"/>
    <x v="6"/>
    <m/>
    <m/>
    <m/>
    <n v="0"/>
    <x v="0"/>
    <n v="0"/>
  </r>
  <r>
    <n v="56"/>
    <x v="6"/>
    <m/>
    <m/>
    <m/>
    <n v="0"/>
    <x v="0"/>
    <n v="0"/>
  </r>
  <r>
    <n v="57"/>
    <x v="6"/>
    <m/>
    <m/>
    <m/>
    <n v="0"/>
    <x v="0"/>
    <n v="0"/>
  </r>
  <r>
    <n v="58"/>
    <x v="6"/>
    <m/>
    <m/>
    <m/>
    <n v="0"/>
    <x v="0"/>
    <n v="0"/>
  </r>
  <r>
    <n v="59"/>
    <x v="6"/>
    <m/>
    <m/>
    <m/>
    <n v="0"/>
    <x v="0"/>
    <n v="0"/>
  </r>
  <r>
    <n v="60"/>
    <x v="6"/>
    <m/>
    <m/>
    <m/>
    <n v="0"/>
    <x v="0"/>
    <n v="0"/>
  </r>
  <r>
    <n v="61"/>
    <x v="6"/>
    <m/>
    <m/>
    <m/>
    <n v="0"/>
    <x v="0"/>
    <n v="0"/>
  </r>
  <r>
    <n v="62"/>
    <x v="6"/>
    <m/>
    <m/>
    <m/>
    <n v="0"/>
    <x v="0"/>
    <n v="0"/>
  </r>
  <r>
    <n v="63"/>
    <x v="6"/>
    <m/>
    <m/>
    <m/>
    <n v="0"/>
    <x v="0"/>
    <n v="0"/>
  </r>
  <r>
    <n v="64"/>
    <x v="6"/>
    <m/>
    <m/>
    <m/>
    <n v="0"/>
    <x v="0"/>
    <n v="0"/>
  </r>
  <r>
    <n v="65"/>
    <x v="6"/>
    <m/>
    <m/>
    <m/>
    <n v="0"/>
    <x v="0"/>
    <n v="0"/>
  </r>
  <r>
    <n v="66"/>
    <x v="6"/>
    <m/>
    <m/>
    <m/>
    <n v="0"/>
    <x v="0"/>
    <n v="0"/>
  </r>
  <r>
    <n v="67"/>
    <x v="6"/>
    <m/>
    <m/>
    <m/>
    <n v="0"/>
    <x v="0"/>
    <n v="0"/>
  </r>
  <r>
    <n v="68"/>
    <x v="6"/>
    <m/>
    <m/>
    <m/>
    <n v="0"/>
    <x v="0"/>
    <n v="0"/>
  </r>
  <r>
    <n v="69"/>
    <x v="6"/>
    <m/>
    <m/>
    <m/>
    <n v="0"/>
    <x v="0"/>
    <n v="0"/>
  </r>
  <r>
    <n v="70"/>
    <x v="6"/>
    <m/>
    <m/>
    <m/>
    <n v="0"/>
    <x v="0"/>
    <n v="0"/>
  </r>
  <r>
    <n v="71"/>
    <x v="6"/>
    <m/>
    <m/>
    <m/>
    <n v="0"/>
    <x v="0"/>
    <n v="0"/>
  </r>
  <r>
    <n v="72"/>
    <x v="6"/>
    <m/>
    <m/>
    <m/>
    <n v="0"/>
    <x v="0"/>
    <n v="0"/>
  </r>
  <r>
    <n v="73"/>
    <x v="6"/>
    <m/>
    <m/>
    <m/>
    <n v="0"/>
    <x v="0"/>
    <n v="0"/>
  </r>
  <r>
    <n v="74"/>
    <x v="6"/>
    <m/>
    <m/>
    <m/>
    <n v="0"/>
    <x v="0"/>
    <n v="0"/>
  </r>
  <r>
    <n v="75"/>
    <x v="6"/>
    <m/>
    <m/>
    <m/>
    <n v="0"/>
    <x v="0"/>
    <n v="0"/>
  </r>
  <r>
    <n v="76"/>
    <x v="6"/>
    <m/>
    <m/>
    <m/>
    <n v="0"/>
    <x v="0"/>
    <n v="0"/>
  </r>
  <r>
    <n v="77"/>
    <x v="6"/>
    <m/>
    <m/>
    <m/>
    <n v="0"/>
    <x v="0"/>
    <n v="0"/>
  </r>
  <r>
    <n v="78"/>
    <x v="6"/>
    <m/>
    <m/>
    <m/>
    <n v="0"/>
    <x v="0"/>
    <n v="0"/>
  </r>
  <r>
    <n v="79"/>
    <x v="6"/>
    <m/>
    <m/>
    <m/>
    <n v="0"/>
    <x v="0"/>
    <n v="0"/>
  </r>
  <r>
    <n v="80"/>
    <x v="6"/>
    <m/>
    <m/>
    <m/>
    <n v="0"/>
    <x v="0"/>
    <n v="0"/>
  </r>
  <r>
    <n v="81"/>
    <x v="6"/>
    <m/>
    <m/>
    <m/>
    <n v="0"/>
    <x v="0"/>
    <n v="0"/>
  </r>
  <r>
    <n v="82"/>
    <x v="6"/>
    <m/>
    <m/>
    <m/>
    <n v="0"/>
    <x v="0"/>
    <n v="0"/>
  </r>
  <r>
    <n v="83"/>
    <x v="6"/>
    <m/>
    <m/>
    <m/>
    <n v="0"/>
    <x v="0"/>
    <n v="0"/>
  </r>
  <r>
    <n v="84"/>
    <x v="6"/>
    <m/>
    <m/>
    <m/>
    <n v="0"/>
    <x v="0"/>
    <n v="0"/>
  </r>
  <r>
    <n v="85"/>
    <x v="6"/>
    <m/>
    <m/>
    <m/>
    <n v="0"/>
    <x v="0"/>
    <n v="0"/>
  </r>
  <r>
    <n v="86"/>
    <x v="6"/>
    <m/>
    <m/>
    <m/>
    <n v="0"/>
    <x v="0"/>
    <n v="0"/>
  </r>
  <r>
    <n v="87"/>
    <x v="6"/>
    <m/>
    <m/>
    <m/>
    <n v="0"/>
    <x v="0"/>
    <n v="0"/>
  </r>
  <r>
    <n v="88"/>
    <x v="6"/>
    <m/>
    <m/>
    <m/>
    <n v="0"/>
    <x v="0"/>
    <n v="0"/>
  </r>
  <r>
    <n v="89"/>
    <x v="6"/>
    <m/>
    <m/>
    <m/>
    <n v="0"/>
    <x v="0"/>
    <n v="0"/>
  </r>
  <r>
    <n v="90"/>
    <x v="6"/>
    <m/>
    <m/>
    <m/>
    <n v="0"/>
    <x v="0"/>
    <n v="0"/>
  </r>
  <r>
    <n v="91"/>
    <x v="6"/>
    <m/>
    <m/>
    <m/>
    <n v="0"/>
    <x v="0"/>
    <n v="0"/>
  </r>
  <r>
    <n v="92"/>
    <x v="6"/>
    <m/>
    <m/>
    <m/>
    <n v="0"/>
    <x v="0"/>
    <n v="0"/>
  </r>
  <r>
    <n v="93"/>
    <x v="6"/>
    <m/>
    <m/>
    <m/>
    <n v="0"/>
    <x v="0"/>
    <n v="0"/>
  </r>
  <r>
    <n v="94"/>
    <x v="6"/>
    <m/>
    <m/>
    <m/>
    <n v="0"/>
    <x v="0"/>
    <n v="0"/>
  </r>
  <r>
    <n v="95"/>
    <x v="6"/>
    <m/>
    <m/>
    <m/>
    <n v="0"/>
    <x v="0"/>
    <n v="0"/>
  </r>
  <r>
    <n v="96"/>
    <x v="6"/>
    <m/>
    <m/>
    <m/>
    <n v="0"/>
    <x v="0"/>
    <n v="0"/>
  </r>
  <r>
    <n v="97"/>
    <x v="6"/>
    <m/>
    <m/>
    <m/>
    <n v="0"/>
    <x v="0"/>
    <n v="0"/>
  </r>
  <r>
    <n v="98"/>
    <x v="6"/>
    <m/>
    <m/>
    <m/>
    <n v="0"/>
    <x v="0"/>
    <n v="0"/>
  </r>
  <r>
    <n v="99"/>
    <x v="6"/>
    <m/>
    <m/>
    <m/>
    <n v="0"/>
    <x v="0"/>
    <n v="0"/>
  </r>
  <r>
    <n v="100"/>
    <x v="6"/>
    <m/>
    <m/>
    <m/>
    <n v="0"/>
    <x v="0"/>
    <n v="0"/>
  </r>
  <r>
    <n v="101"/>
    <x v="6"/>
    <m/>
    <m/>
    <m/>
    <n v="0"/>
    <x v="0"/>
    <n v="0"/>
  </r>
  <r>
    <n v="102"/>
    <x v="6"/>
    <m/>
    <m/>
    <m/>
    <n v="0"/>
    <x v="0"/>
    <n v="0"/>
  </r>
  <r>
    <n v="103"/>
    <x v="6"/>
    <m/>
    <m/>
    <m/>
    <n v="0"/>
    <x v="0"/>
    <n v="0"/>
  </r>
  <r>
    <n v="104"/>
    <x v="6"/>
    <m/>
    <m/>
    <m/>
    <n v="0"/>
    <x v="0"/>
    <n v="0"/>
  </r>
  <r>
    <n v="105"/>
    <x v="6"/>
    <m/>
    <m/>
    <m/>
    <n v="0"/>
    <x v="0"/>
    <n v="0"/>
  </r>
  <r>
    <n v="106"/>
    <x v="6"/>
    <m/>
    <m/>
    <m/>
    <n v="0"/>
    <x v="0"/>
    <n v="0"/>
  </r>
  <r>
    <n v="107"/>
    <x v="6"/>
    <m/>
    <m/>
    <m/>
    <n v="0"/>
    <x v="0"/>
    <n v="0"/>
  </r>
  <r>
    <n v="108"/>
    <x v="6"/>
    <m/>
    <m/>
    <m/>
    <n v="0"/>
    <x v="0"/>
    <n v="0"/>
  </r>
  <r>
    <n v="109"/>
    <x v="6"/>
    <m/>
    <m/>
    <m/>
    <n v="0"/>
    <x v="0"/>
    <n v="0"/>
  </r>
  <r>
    <n v="110"/>
    <x v="6"/>
    <m/>
    <m/>
    <m/>
    <n v="0"/>
    <x v="0"/>
    <n v="0"/>
  </r>
  <r>
    <n v="111"/>
    <x v="6"/>
    <m/>
    <m/>
    <m/>
    <n v="0"/>
    <x v="0"/>
    <n v="0"/>
  </r>
  <r>
    <n v="112"/>
    <x v="6"/>
    <m/>
    <m/>
    <m/>
    <n v="0"/>
    <x v="0"/>
    <n v="0"/>
  </r>
  <r>
    <n v="113"/>
    <x v="6"/>
    <m/>
    <m/>
    <m/>
    <n v="0"/>
    <x v="0"/>
    <n v="0"/>
  </r>
  <r>
    <n v="114"/>
    <x v="6"/>
    <m/>
    <m/>
    <m/>
    <n v="0"/>
    <x v="0"/>
    <n v="0"/>
  </r>
  <r>
    <n v="115"/>
    <x v="6"/>
    <m/>
    <m/>
    <m/>
    <n v="0"/>
    <x v="0"/>
    <n v="0"/>
  </r>
  <r>
    <n v="116"/>
    <x v="6"/>
    <m/>
    <m/>
    <m/>
    <n v="0"/>
    <x v="0"/>
    <n v="0"/>
  </r>
  <r>
    <n v="117"/>
    <x v="6"/>
    <m/>
    <m/>
    <m/>
    <n v="0"/>
    <x v="0"/>
    <n v="0"/>
  </r>
  <r>
    <n v="118"/>
    <x v="6"/>
    <m/>
    <m/>
    <m/>
    <n v="0"/>
    <x v="0"/>
    <n v="0"/>
  </r>
  <r>
    <n v="119"/>
    <x v="6"/>
    <m/>
    <m/>
    <m/>
    <n v="0"/>
    <x v="0"/>
    <n v="0"/>
  </r>
  <r>
    <n v="120"/>
    <x v="6"/>
    <m/>
    <m/>
    <m/>
    <n v="0"/>
    <x v="0"/>
    <n v="0"/>
  </r>
  <r>
    <n v="121"/>
    <x v="6"/>
    <m/>
    <m/>
    <m/>
    <n v="0"/>
    <x v="0"/>
    <n v="0"/>
  </r>
  <r>
    <n v="122"/>
    <x v="6"/>
    <m/>
    <m/>
    <m/>
    <n v="0"/>
    <x v="0"/>
    <n v="0"/>
  </r>
  <r>
    <n v="123"/>
    <x v="6"/>
    <m/>
    <m/>
    <m/>
    <n v="0"/>
    <x v="0"/>
    <n v="0"/>
  </r>
  <r>
    <n v="124"/>
    <x v="6"/>
    <m/>
    <m/>
    <m/>
    <n v="0"/>
    <x v="0"/>
    <n v="0"/>
  </r>
  <r>
    <n v="125"/>
    <x v="6"/>
    <m/>
    <m/>
    <m/>
    <n v="0"/>
    <x v="0"/>
    <n v="0"/>
  </r>
  <r>
    <n v="126"/>
    <x v="6"/>
    <m/>
    <m/>
    <m/>
    <n v="0"/>
    <x v="0"/>
    <n v="0"/>
  </r>
  <r>
    <n v="127"/>
    <x v="6"/>
    <m/>
    <m/>
    <m/>
    <n v="0"/>
    <x v="0"/>
    <n v="0"/>
  </r>
  <r>
    <n v="128"/>
    <x v="6"/>
    <m/>
    <m/>
    <m/>
    <n v="0"/>
    <x v="0"/>
    <n v="0"/>
  </r>
  <r>
    <n v="129"/>
    <x v="6"/>
    <m/>
    <m/>
    <m/>
    <n v="0"/>
    <x v="0"/>
    <n v="0"/>
  </r>
  <r>
    <n v="130"/>
    <x v="6"/>
    <m/>
    <m/>
    <m/>
    <n v="0"/>
    <x v="0"/>
    <n v="0"/>
  </r>
  <r>
    <n v="131"/>
    <x v="6"/>
    <m/>
    <m/>
    <m/>
    <n v="0"/>
    <x v="0"/>
    <n v="0"/>
  </r>
  <r>
    <n v="132"/>
    <x v="6"/>
    <m/>
    <m/>
    <m/>
    <n v="0"/>
    <x v="0"/>
    <n v="0"/>
  </r>
  <r>
    <n v="133"/>
    <x v="6"/>
    <m/>
    <m/>
    <m/>
    <n v="0"/>
    <x v="0"/>
    <n v="0"/>
  </r>
  <r>
    <n v="134"/>
    <x v="6"/>
    <m/>
    <m/>
    <m/>
    <n v="0"/>
    <x v="0"/>
    <n v="0"/>
  </r>
  <r>
    <n v="135"/>
    <x v="6"/>
    <m/>
    <m/>
    <m/>
    <n v="0"/>
    <x v="0"/>
    <n v="0"/>
  </r>
  <r>
    <n v="136"/>
    <x v="6"/>
    <m/>
    <m/>
    <m/>
    <n v="0"/>
    <x v="0"/>
    <n v="0"/>
  </r>
  <r>
    <n v="137"/>
    <x v="6"/>
    <m/>
    <m/>
    <m/>
    <n v="0"/>
    <x v="0"/>
    <n v="0"/>
  </r>
  <r>
    <n v="138"/>
    <x v="6"/>
    <m/>
    <m/>
    <m/>
    <n v="0"/>
    <x v="0"/>
    <n v="0"/>
  </r>
  <r>
    <n v="139"/>
    <x v="6"/>
    <m/>
    <m/>
    <m/>
    <n v="0"/>
    <x v="0"/>
    <n v="0"/>
  </r>
  <r>
    <n v="140"/>
    <x v="6"/>
    <m/>
    <m/>
    <m/>
    <n v="0"/>
    <x v="0"/>
    <n v="0"/>
  </r>
  <r>
    <n v="141"/>
    <x v="6"/>
    <m/>
    <m/>
    <m/>
    <n v="0"/>
    <x v="0"/>
    <n v="0"/>
  </r>
  <r>
    <n v="142"/>
    <x v="6"/>
    <m/>
    <m/>
    <m/>
    <n v="0"/>
    <x v="0"/>
    <n v="0"/>
  </r>
  <r>
    <n v="143"/>
    <x v="6"/>
    <m/>
    <m/>
    <m/>
    <n v="0"/>
    <x v="0"/>
    <n v="0"/>
  </r>
  <r>
    <n v="144"/>
    <x v="6"/>
    <m/>
    <m/>
    <m/>
    <n v="0"/>
    <x v="0"/>
    <n v="0"/>
  </r>
  <r>
    <n v="145"/>
    <x v="6"/>
    <m/>
    <m/>
    <m/>
    <n v="0"/>
    <x v="0"/>
    <n v="0"/>
  </r>
  <r>
    <n v="146"/>
    <x v="6"/>
    <m/>
    <m/>
    <m/>
    <n v="0"/>
    <x v="0"/>
    <n v="0"/>
  </r>
  <r>
    <n v="147"/>
    <x v="6"/>
    <m/>
    <m/>
    <m/>
    <n v="0"/>
    <x v="0"/>
    <n v="0"/>
  </r>
  <r>
    <n v="148"/>
    <x v="6"/>
    <m/>
    <m/>
    <m/>
    <n v="0"/>
    <x v="0"/>
    <n v="0"/>
  </r>
  <r>
    <n v="149"/>
    <x v="6"/>
    <m/>
    <m/>
    <m/>
    <n v="0"/>
    <x v="0"/>
    <n v="0"/>
  </r>
  <r>
    <n v="150"/>
    <x v="6"/>
    <m/>
    <m/>
    <m/>
    <n v="0"/>
    <x v="0"/>
    <n v="0"/>
  </r>
  <r>
    <n v="151"/>
    <x v="6"/>
    <m/>
    <m/>
    <m/>
    <n v="0"/>
    <x v="0"/>
    <n v="0"/>
  </r>
  <r>
    <n v="152"/>
    <x v="6"/>
    <m/>
    <m/>
    <m/>
    <n v="0"/>
    <x v="0"/>
    <n v="0"/>
  </r>
  <r>
    <n v="153"/>
    <x v="6"/>
    <m/>
    <m/>
    <m/>
    <n v="0"/>
    <x v="0"/>
    <n v="0"/>
  </r>
  <r>
    <n v="154"/>
    <x v="6"/>
    <m/>
    <m/>
    <m/>
    <n v="0"/>
    <x v="0"/>
    <n v="0"/>
  </r>
  <r>
    <n v="155"/>
    <x v="6"/>
    <m/>
    <m/>
    <m/>
    <n v="0"/>
    <x v="0"/>
    <n v="0"/>
  </r>
  <r>
    <n v="156"/>
    <x v="6"/>
    <m/>
    <m/>
    <m/>
    <n v="0"/>
    <x v="0"/>
    <n v="0"/>
  </r>
  <r>
    <n v="157"/>
    <x v="6"/>
    <m/>
    <m/>
    <m/>
    <n v="0"/>
    <x v="0"/>
    <n v="0"/>
  </r>
  <r>
    <n v="158"/>
    <x v="6"/>
    <m/>
    <m/>
    <m/>
    <n v="0"/>
    <x v="0"/>
    <n v="0"/>
  </r>
  <r>
    <n v="159"/>
    <x v="6"/>
    <m/>
    <m/>
    <m/>
    <n v="0"/>
    <x v="0"/>
    <n v="0"/>
  </r>
  <r>
    <n v="160"/>
    <x v="6"/>
    <m/>
    <m/>
    <m/>
    <n v="0"/>
    <x v="0"/>
    <n v="0"/>
  </r>
  <r>
    <n v="161"/>
    <x v="6"/>
    <m/>
    <m/>
    <m/>
    <n v="0"/>
    <x v="0"/>
    <n v="0"/>
  </r>
  <r>
    <n v="162"/>
    <x v="6"/>
    <m/>
    <m/>
    <m/>
    <n v="0"/>
    <x v="0"/>
    <n v="0"/>
  </r>
  <r>
    <n v="163"/>
    <x v="6"/>
    <m/>
    <m/>
    <m/>
    <n v="0"/>
    <x v="0"/>
    <n v="0"/>
  </r>
  <r>
    <n v="164"/>
    <x v="6"/>
    <m/>
    <m/>
    <m/>
    <n v="0"/>
    <x v="0"/>
    <n v="0"/>
  </r>
  <r>
    <n v="165"/>
    <x v="6"/>
    <m/>
    <m/>
    <m/>
    <n v="0"/>
    <x v="0"/>
    <n v="0"/>
  </r>
  <r>
    <n v="166"/>
    <x v="6"/>
    <m/>
    <m/>
    <m/>
    <n v="0"/>
    <x v="0"/>
    <n v="0"/>
  </r>
  <r>
    <n v="167"/>
    <x v="6"/>
    <m/>
    <m/>
    <m/>
    <n v="0"/>
    <x v="0"/>
    <n v="0"/>
  </r>
  <r>
    <n v="168"/>
    <x v="6"/>
    <m/>
    <m/>
    <m/>
    <n v="0"/>
    <x v="0"/>
    <n v="0"/>
  </r>
  <r>
    <n v="169"/>
    <x v="6"/>
    <m/>
    <m/>
    <m/>
    <n v="0"/>
    <x v="0"/>
    <n v="0"/>
  </r>
  <r>
    <n v="170"/>
    <x v="6"/>
    <m/>
    <m/>
    <m/>
    <n v="0"/>
    <x v="0"/>
    <n v="0"/>
  </r>
  <r>
    <n v="171"/>
    <x v="6"/>
    <m/>
    <m/>
    <m/>
    <n v="0"/>
    <x v="0"/>
    <n v="0"/>
  </r>
  <r>
    <n v="172"/>
    <x v="6"/>
    <m/>
    <m/>
    <m/>
    <n v="0"/>
    <x v="0"/>
    <n v="0"/>
  </r>
  <r>
    <n v="173"/>
    <x v="6"/>
    <m/>
    <m/>
    <m/>
    <n v="0"/>
    <x v="0"/>
    <n v="0"/>
  </r>
  <r>
    <n v="174"/>
    <x v="6"/>
    <m/>
    <m/>
    <m/>
    <n v="0"/>
    <x v="0"/>
    <n v="0"/>
  </r>
  <r>
    <n v="175"/>
    <x v="6"/>
    <m/>
    <m/>
    <m/>
    <n v="0"/>
    <x v="0"/>
    <n v="0"/>
  </r>
  <r>
    <n v="176"/>
    <x v="6"/>
    <m/>
    <m/>
    <m/>
    <n v="0"/>
    <x v="0"/>
    <n v="0"/>
  </r>
  <r>
    <n v="177"/>
    <x v="6"/>
    <m/>
    <m/>
    <m/>
    <n v="0"/>
    <x v="0"/>
    <n v="0"/>
  </r>
  <r>
    <n v="178"/>
    <x v="6"/>
    <m/>
    <m/>
    <m/>
    <n v="0"/>
    <x v="0"/>
    <n v="0"/>
  </r>
  <r>
    <n v="179"/>
    <x v="6"/>
    <m/>
    <m/>
    <m/>
    <n v="0"/>
    <x v="0"/>
    <n v="0"/>
  </r>
  <r>
    <n v="180"/>
    <x v="6"/>
    <m/>
    <m/>
    <m/>
    <n v="0"/>
    <x v="0"/>
    <n v="0"/>
  </r>
  <r>
    <n v="181"/>
    <x v="6"/>
    <m/>
    <m/>
    <m/>
    <n v="0"/>
    <x v="0"/>
    <n v="0"/>
  </r>
  <r>
    <n v="182"/>
    <x v="6"/>
    <m/>
    <m/>
    <m/>
    <n v="0"/>
    <x v="0"/>
    <n v="0"/>
  </r>
  <r>
    <n v="183"/>
    <x v="6"/>
    <m/>
    <m/>
    <m/>
    <n v="0"/>
    <x v="0"/>
    <n v="0"/>
  </r>
  <r>
    <n v="184"/>
    <x v="6"/>
    <m/>
    <m/>
    <m/>
    <n v="0"/>
    <x v="0"/>
    <n v="0"/>
  </r>
  <r>
    <n v="185"/>
    <x v="6"/>
    <m/>
    <m/>
    <m/>
    <n v="0"/>
    <x v="0"/>
    <n v="0"/>
  </r>
  <r>
    <n v="186"/>
    <x v="6"/>
    <m/>
    <m/>
    <m/>
    <n v="0"/>
    <x v="0"/>
    <n v="0"/>
  </r>
  <r>
    <n v="187"/>
    <x v="6"/>
    <m/>
    <m/>
    <m/>
    <n v="0"/>
    <x v="0"/>
    <n v="0"/>
  </r>
  <r>
    <n v="188"/>
    <x v="6"/>
    <m/>
    <m/>
    <m/>
    <n v="0"/>
    <x v="0"/>
    <n v="0"/>
  </r>
  <r>
    <n v="189"/>
    <x v="6"/>
    <m/>
    <m/>
    <m/>
    <n v="0"/>
    <x v="0"/>
    <n v="0"/>
  </r>
  <r>
    <n v="190"/>
    <x v="6"/>
    <m/>
    <m/>
    <m/>
    <n v="0"/>
    <x v="0"/>
    <n v="0"/>
  </r>
  <r>
    <n v="191"/>
    <x v="6"/>
    <m/>
    <m/>
    <m/>
    <n v="0"/>
    <x v="0"/>
    <n v="0"/>
  </r>
  <r>
    <n v="192"/>
    <x v="6"/>
    <m/>
    <m/>
    <m/>
    <n v="0"/>
    <x v="0"/>
    <n v="0"/>
  </r>
  <r>
    <n v="193"/>
    <x v="6"/>
    <m/>
    <m/>
    <m/>
    <n v="0"/>
    <x v="0"/>
    <n v="0"/>
  </r>
  <r>
    <n v="194"/>
    <x v="6"/>
    <m/>
    <m/>
    <m/>
    <n v="0"/>
    <x v="0"/>
    <n v="0"/>
  </r>
  <r>
    <n v="195"/>
    <x v="6"/>
    <m/>
    <m/>
    <m/>
    <n v="0"/>
    <x v="0"/>
    <n v="0"/>
  </r>
  <r>
    <n v="196"/>
    <x v="6"/>
    <m/>
    <m/>
    <m/>
    <n v="0"/>
    <x v="0"/>
    <n v="0"/>
  </r>
  <r>
    <n v="197"/>
    <x v="6"/>
    <m/>
    <m/>
    <m/>
    <n v="0"/>
    <x v="0"/>
    <n v="0"/>
  </r>
  <r>
    <n v="198"/>
    <x v="6"/>
    <m/>
    <m/>
    <m/>
    <n v="0"/>
    <x v="0"/>
    <n v="0"/>
  </r>
  <r>
    <n v="199"/>
    <x v="6"/>
    <m/>
    <m/>
    <m/>
    <n v="0"/>
    <x v="0"/>
    <n v="0"/>
  </r>
  <r>
    <n v="200"/>
    <x v="6"/>
    <m/>
    <m/>
    <m/>
    <n v="0"/>
    <x v="0"/>
    <n v="0"/>
  </r>
  <r>
    <n v="201"/>
    <x v="6"/>
    <m/>
    <m/>
    <m/>
    <n v="0"/>
    <x v="0"/>
    <n v="0"/>
  </r>
  <r>
    <n v="202"/>
    <x v="6"/>
    <m/>
    <m/>
    <m/>
    <n v="0"/>
    <x v="0"/>
    <n v="0"/>
  </r>
  <r>
    <n v="203"/>
    <x v="6"/>
    <m/>
    <m/>
    <m/>
    <n v="0"/>
    <x v="0"/>
    <n v="0"/>
  </r>
  <r>
    <n v="204"/>
    <x v="6"/>
    <m/>
    <m/>
    <m/>
    <n v="0"/>
    <x v="0"/>
    <n v="0"/>
  </r>
  <r>
    <n v="205"/>
    <x v="6"/>
    <m/>
    <m/>
    <m/>
    <n v="0"/>
    <x v="0"/>
    <n v="0"/>
  </r>
  <r>
    <n v="206"/>
    <x v="6"/>
    <m/>
    <m/>
    <m/>
    <n v="0"/>
    <x v="0"/>
    <n v="0"/>
  </r>
  <r>
    <n v="207"/>
    <x v="6"/>
    <m/>
    <m/>
    <m/>
    <n v="0"/>
    <x v="0"/>
    <n v="0"/>
  </r>
  <r>
    <n v="208"/>
    <x v="6"/>
    <m/>
    <m/>
    <m/>
    <n v="0"/>
    <x v="0"/>
    <n v="0"/>
  </r>
  <r>
    <n v="209"/>
    <x v="6"/>
    <m/>
    <m/>
    <m/>
    <n v="0"/>
    <x v="0"/>
    <n v="0"/>
  </r>
  <r>
    <n v="210"/>
    <x v="6"/>
    <m/>
    <m/>
    <m/>
    <n v="0"/>
    <x v="0"/>
    <n v="0"/>
  </r>
  <r>
    <n v="211"/>
    <x v="6"/>
    <m/>
    <m/>
    <m/>
    <n v="0"/>
    <x v="0"/>
    <n v="0"/>
  </r>
  <r>
    <n v="212"/>
    <x v="6"/>
    <m/>
    <m/>
    <m/>
    <n v="0"/>
    <x v="0"/>
    <n v="0"/>
  </r>
  <r>
    <n v="213"/>
    <x v="6"/>
    <m/>
    <m/>
    <m/>
    <n v="0"/>
    <x v="0"/>
    <n v="0"/>
  </r>
  <r>
    <n v="214"/>
    <x v="6"/>
    <m/>
    <m/>
    <m/>
    <n v="0"/>
    <x v="0"/>
    <n v="0"/>
  </r>
  <r>
    <n v="215"/>
    <x v="6"/>
    <m/>
    <m/>
    <m/>
    <n v="0"/>
    <x v="0"/>
    <n v="0"/>
  </r>
  <r>
    <n v="216"/>
    <x v="6"/>
    <m/>
    <m/>
    <m/>
    <n v="0"/>
    <x v="0"/>
    <n v="0"/>
  </r>
  <r>
    <n v="217"/>
    <x v="6"/>
    <m/>
    <m/>
    <m/>
    <n v="0"/>
    <x v="0"/>
    <n v="0"/>
  </r>
  <r>
    <n v="218"/>
    <x v="6"/>
    <m/>
    <m/>
    <m/>
    <n v="0"/>
    <x v="0"/>
    <n v="0"/>
  </r>
  <r>
    <n v="219"/>
    <x v="6"/>
    <m/>
    <m/>
    <m/>
    <n v="0"/>
    <x v="0"/>
    <n v="0"/>
  </r>
  <r>
    <n v="220"/>
    <x v="6"/>
    <m/>
    <m/>
    <m/>
    <n v="0"/>
    <x v="0"/>
    <n v="0"/>
  </r>
  <r>
    <n v="221"/>
    <x v="6"/>
    <m/>
    <m/>
    <m/>
    <n v="0"/>
    <x v="0"/>
    <n v="0"/>
  </r>
  <r>
    <n v="222"/>
    <x v="6"/>
    <m/>
    <m/>
    <m/>
    <n v="0"/>
    <x v="0"/>
    <n v="0"/>
  </r>
  <r>
    <n v="223"/>
    <x v="6"/>
    <m/>
    <m/>
    <m/>
    <n v="0"/>
    <x v="0"/>
    <n v="0"/>
  </r>
  <r>
    <n v="224"/>
    <x v="6"/>
    <m/>
    <m/>
    <m/>
    <n v="0"/>
    <x v="0"/>
    <n v="0"/>
  </r>
  <r>
    <n v="225"/>
    <x v="6"/>
    <m/>
    <m/>
    <m/>
    <n v="0"/>
    <x v="0"/>
    <n v="0"/>
  </r>
  <r>
    <n v="226"/>
    <x v="6"/>
    <m/>
    <m/>
    <m/>
    <n v="0"/>
    <x v="0"/>
    <n v="0"/>
  </r>
  <r>
    <n v="227"/>
    <x v="6"/>
    <m/>
    <m/>
    <m/>
    <n v="0"/>
    <x v="0"/>
    <n v="0"/>
  </r>
  <r>
    <n v="228"/>
    <x v="6"/>
    <m/>
    <m/>
    <m/>
    <n v="0"/>
    <x v="0"/>
    <n v="0"/>
  </r>
  <r>
    <n v="229"/>
    <x v="6"/>
    <m/>
    <m/>
    <m/>
    <n v="0"/>
    <x v="0"/>
    <n v="0"/>
  </r>
  <r>
    <n v="230"/>
    <x v="6"/>
    <m/>
    <m/>
    <m/>
    <n v="0"/>
    <x v="0"/>
    <n v="0"/>
  </r>
  <r>
    <n v="231"/>
    <x v="6"/>
    <m/>
    <m/>
    <m/>
    <n v="0"/>
    <x v="0"/>
    <n v="0"/>
  </r>
  <r>
    <n v="232"/>
    <x v="6"/>
    <m/>
    <m/>
    <m/>
    <n v="0"/>
    <x v="0"/>
    <n v="0"/>
  </r>
  <r>
    <n v="233"/>
    <x v="6"/>
    <m/>
    <m/>
    <m/>
    <n v="0"/>
    <x v="0"/>
    <n v="0"/>
  </r>
  <r>
    <n v="234"/>
    <x v="6"/>
    <m/>
    <m/>
    <m/>
    <n v="0"/>
    <x v="0"/>
    <n v="0"/>
  </r>
  <r>
    <n v="235"/>
    <x v="6"/>
    <m/>
    <m/>
    <m/>
    <n v="0"/>
    <x v="0"/>
    <n v="0"/>
  </r>
  <r>
    <n v="236"/>
    <x v="6"/>
    <m/>
    <m/>
    <m/>
    <n v="0"/>
    <x v="0"/>
    <n v="0"/>
  </r>
  <r>
    <n v="237"/>
    <x v="6"/>
    <m/>
    <m/>
    <m/>
    <n v="0"/>
    <x v="0"/>
    <n v="0"/>
  </r>
  <r>
    <n v="238"/>
    <x v="6"/>
    <m/>
    <m/>
    <m/>
    <n v="0"/>
    <x v="0"/>
    <n v="0"/>
  </r>
  <r>
    <n v="239"/>
    <x v="6"/>
    <m/>
    <m/>
    <m/>
    <n v="0"/>
    <x v="0"/>
    <n v="0"/>
  </r>
  <r>
    <n v="240"/>
    <x v="6"/>
    <m/>
    <m/>
    <m/>
    <n v="0"/>
    <x v="0"/>
    <n v="0"/>
  </r>
  <r>
    <n v="241"/>
    <x v="6"/>
    <m/>
    <m/>
    <m/>
    <n v="0"/>
    <x v="0"/>
    <n v="0"/>
  </r>
  <r>
    <n v="242"/>
    <x v="6"/>
    <m/>
    <m/>
    <m/>
    <n v="0"/>
    <x v="0"/>
    <n v="0"/>
  </r>
  <r>
    <n v="243"/>
    <x v="6"/>
    <m/>
    <m/>
    <m/>
    <n v="0"/>
    <x v="0"/>
    <n v="0"/>
  </r>
  <r>
    <n v="244"/>
    <x v="6"/>
    <m/>
    <m/>
    <m/>
    <n v="0"/>
    <x v="0"/>
    <n v="0"/>
  </r>
  <r>
    <n v="245"/>
    <x v="6"/>
    <m/>
    <m/>
    <m/>
    <n v="0"/>
    <x v="0"/>
    <n v="0"/>
  </r>
  <r>
    <n v="246"/>
    <x v="6"/>
    <m/>
    <m/>
    <m/>
    <n v="0"/>
    <x v="0"/>
    <n v="0"/>
  </r>
  <r>
    <n v="247"/>
    <x v="6"/>
    <m/>
    <m/>
    <m/>
    <n v="0"/>
    <x v="0"/>
    <n v="0"/>
  </r>
  <r>
    <n v="248"/>
    <x v="6"/>
    <m/>
    <m/>
    <m/>
    <n v="0"/>
    <x v="0"/>
    <n v="0"/>
  </r>
  <r>
    <n v="249"/>
    <x v="6"/>
    <m/>
    <m/>
    <m/>
    <n v="0"/>
    <x v="0"/>
    <n v="0"/>
  </r>
  <r>
    <n v="250"/>
    <x v="6"/>
    <m/>
    <m/>
    <m/>
    <n v="0"/>
    <x v="0"/>
    <n v="0"/>
  </r>
  <r>
    <n v="251"/>
    <x v="6"/>
    <m/>
    <m/>
    <m/>
    <n v="0"/>
    <x v="0"/>
    <n v="0"/>
  </r>
  <r>
    <n v="252"/>
    <x v="6"/>
    <m/>
    <m/>
    <m/>
    <n v="0"/>
    <x v="0"/>
    <n v="0"/>
  </r>
  <r>
    <n v="253"/>
    <x v="6"/>
    <m/>
    <m/>
    <m/>
    <n v="0"/>
    <x v="0"/>
    <n v="0"/>
  </r>
  <r>
    <n v="254"/>
    <x v="6"/>
    <m/>
    <m/>
    <m/>
    <n v="0"/>
    <x v="0"/>
    <n v="0"/>
  </r>
  <r>
    <n v="255"/>
    <x v="6"/>
    <m/>
    <m/>
    <m/>
    <n v="0"/>
    <x v="0"/>
    <n v="0"/>
  </r>
  <r>
    <n v="256"/>
    <x v="6"/>
    <m/>
    <m/>
    <m/>
    <n v="0"/>
    <x v="0"/>
    <n v="0"/>
  </r>
  <r>
    <n v="257"/>
    <x v="6"/>
    <m/>
    <m/>
    <m/>
    <n v="0"/>
    <x v="0"/>
    <n v="0"/>
  </r>
  <r>
    <n v="258"/>
    <x v="6"/>
    <m/>
    <m/>
    <m/>
    <n v="0"/>
    <x v="0"/>
    <n v="0"/>
  </r>
  <r>
    <n v="259"/>
    <x v="6"/>
    <m/>
    <m/>
    <m/>
    <n v="0"/>
    <x v="0"/>
    <n v="0"/>
  </r>
  <r>
    <n v="260"/>
    <x v="6"/>
    <m/>
    <m/>
    <m/>
    <n v="0"/>
    <x v="0"/>
    <n v="0"/>
  </r>
  <r>
    <n v="261"/>
    <x v="6"/>
    <m/>
    <m/>
    <m/>
    <n v="0"/>
    <x v="0"/>
    <n v="0"/>
  </r>
  <r>
    <n v="262"/>
    <x v="6"/>
    <m/>
    <m/>
    <m/>
    <n v="0"/>
    <x v="0"/>
    <n v="0"/>
  </r>
  <r>
    <n v="263"/>
    <x v="6"/>
    <m/>
    <m/>
    <m/>
    <n v="0"/>
    <x v="0"/>
    <n v="0"/>
  </r>
  <r>
    <n v="264"/>
    <x v="6"/>
    <m/>
    <m/>
    <m/>
    <n v="0"/>
    <x v="0"/>
    <n v="0"/>
  </r>
  <r>
    <n v="265"/>
    <x v="6"/>
    <m/>
    <m/>
    <m/>
    <n v="0"/>
    <x v="0"/>
    <n v="0"/>
  </r>
  <r>
    <n v="266"/>
    <x v="6"/>
    <m/>
    <m/>
    <m/>
    <n v="0"/>
    <x v="0"/>
    <n v="0"/>
  </r>
  <r>
    <n v="267"/>
    <x v="6"/>
    <m/>
    <m/>
    <m/>
    <n v="0"/>
    <x v="0"/>
    <n v="0"/>
  </r>
  <r>
    <n v="268"/>
    <x v="6"/>
    <m/>
    <m/>
    <m/>
    <n v="0"/>
    <x v="0"/>
    <n v="0"/>
  </r>
  <r>
    <n v="269"/>
    <x v="6"/>
    <m/>
    <m/>
    <m/>
    <n v="0"/>
    <x v="0"/>
    <n v="0"/>
  </r>
  <r>
    <n v="270"/>
    <x v="6"/>
    <m/>
    <m/>
    <m/>
    <n v="0"/>
    <x v="0"/>
    <n v="0"/>
  </r>
  <r>
    <n v="271"/>
    <x v="6"/>
    <m/>
    <m/>
    <m/>
    <n v="0"/>
    <x v="0"/>
    <n v="0"/>
  </r>
  <r>
    <n v="272"/>
    <x v="6"/>
    <m/>
    <m/>
    <m/>
    <n v="0"/>
    <x v="0"/>
    <n v="0"/>
  </r>
  <r>
    <n v="273"/>
    <x v="6"/>
    <m/>
    <m/>
    <m/>
    <n v="0"/>
    <x v="0"/>
    <n v="0"/>
  </r>
  <r>
    <n v="274"/>
    <x v="6"/>
    <m/>
    <m/>
    <m/>
    <n v="0"/>
    <x v="0"/>
    <n v="0"/>
  </r>
  <r>
    <n v="275"/>
    <x v="6"/>
    <m/>
    <m/>
    <m/>
    <n v="0"/>
    <x v="0"/>
    <n v="0"/>
  </r>
  <r>
    <n v="276"/>
    <x v="6"/>
    <m/>
    <m/>
    <m/>
    <n v="0"/>
    <x v="0"/>
    <n v="0"/>
  </r>
  <r>
    <n v="277"/>
    <x v="6"/>
    <m/>
    <m/>
    <m/>
    <n v="0"/>
    <x v="0"/>
    <n v="0"/>
  </r>
  <r>
    <n v="278"/>
    <x v="6"/>
    <m/>
    <m/>
    <m/>
    <n v="0"/>
    <x v="0"/>
    <n v="0"/>
  </r>
  <r>
    <n v="279"/>
    <x v="6"/>
    <m/>
    <m/>
    <m/>
    <n v="0"/>
    <x v="0"/>
    <n v="0"/>
  </r>
  <r>
    <n v="280"/>
    <x v="6"/>
    <m/>
    <m/>
    <m/>
    <n v="0"/>
    <x v="0"/>
    <n v="0"/>
  </r>
  <r>
    <n v="281"/>
    <x v="6"/>
    <m/>
    <m/>
    <m/>
    <n v="0"/>
    <x v="0"/>
    <n v="0"/>
  </r>
  <r>
    <n v="282"/>
    <x v="6"/>
    <m/>
    <m/>
    <m/>
    <n v="0"/>
    <x v="0"/>
    <n v="0"/>
  </r>
  <r>
    <n v="283"/>
    <x v="6"/>
    <m/>
    <m/>
    <m/>
    <n v="0"/>
    <x v="0"/>
    <n v="0"/>
  </r>
  <r>
    <n v="284"/>
    <x v="6"/>
    <m/>
    <m/>
    <m/>
    <n v="0"/>
    <x v="0"/>
    <n v="0"/>
  </r>
  <r>
    <n v="285"/>
    <x v="6"/>
    <m/>
    <m/>
    <m/>
    <n v="0"/>
    <x v="0"/>
    <n v="0"/>
  </r>
  <r>
    <n v="286"/>
    <x v="6"/>
    <m/>
    <m/>
    <m/>
    <n v="0"/>
    <x v="0"/>
    <n v="0"/>
  </r>
  <r>
    <n v="287"/>
    <x v="6"/>
    <m/>
    <m/>
    <m/>
    <n v="0"/>
    <x v="0"/>
    <n v="0"/>
  </r>
  <r>
    <n v="288"/>
    <x v="6"/>
    <m/>
    <m/>
    <m/>
    <n v="0"/>
    <x v="0"/>
    <n v="0"/>
  </r>
  <r>
    <n v="289"/>
    <x v="6"/>
    <m/>
    <m/>
    <m/>
    <n v="0"/>
    <x v="0"/>
    <n v="0"/>
  </r>
  <r>
    <n v="290"/>
    <x v="6"/>
    <m/>
    <m/>
    <m/>
    <n v="0"/>
    <x v="0"/>
    <n v="0"/>
  </r>
  <r>
    <n v="291"/>
    <x v="6"/>
    <m/>
    <m/>
    <m/>
    <n v="0"/>
    <x v="0"/>
    <n v="0"/>
  </r>
  <r>
    <n v="292"/>
    <x v="6"/>
    <m/>
    <m/>
    <m/>
    <n v="0"/>
    <x v="0"/>
    <n v="0"/>
  </r>
  <r>
    <n v="293"/>
    <x v="6"/>
    <m/>
    <m/>
    <m/>
    <n v="0"/>
    <x v="0"/>
    <n v="0"/>
  </r>
  <r>
    <n v="294"/>
    <x v="6"/>
    <m/>
    <m/>
    <m/>
    <n v="0"/>
    <x v="0"/>
    <n v="0"/>
  </r>
  <r>
    <n v="295"/>
    <x v="6"/>
    <m/>
    <m/>
    <m/>
    <n v="0"/>
    <x v="0"/>
    <n v="0"/>
  </r>
  <r>
    <n v="296"/>
    <x v="6"/>
    <m/>
    <m/>
    <m/>
    <n v="0"/>
    <x v="0"/>
    <n v="0"/>
  </r>
  <r>
    <n v="297"/>
    <x v="6"/>
    <m/>
    <m/>
    <m/>
    <n v="0"/>
    <x v="0"/>
    <n v="0"/>
  </r>
  <r>
    <n v="298"/>
    <x v="6"/>
    <m/>
    <m/>
    <m/>
    <n v="0"/>
    <x v="0"/>
    <n v="0"/>
  </r>
  <r>
    <n v="299"/>
    <x v="6"/>
    <m/>
    <m/>
    <m/>
    <n v="0"/>
    <x v="0"/>
    <n v="0"/>
  </r>
  <r>
    <n v="300"/>
    <x v="6"/>
    <m/>
    <m/>
    <m/>
    <n v="0"/>
    <x v="0"/>
    <n v="0"/>
  </r>
  <r>
    <n v="301"/>
    <x v="6"/>
    <m/>
    <m/>
    <m/>
    <n v="0"/>
    <x v="0"/>
    <n v="0"/>
  </r>
  <r>
    <n v="302"/>
    <x v="6"/>
    <m/>
    <m/>
    <m/>
    <n v="0"/>
    <x v="0"/>
    <n v="0"/>
  </r>
  <r>
    <n v="303"/>
    <x v="6"/>
    <m/>
    <m/>
    <m/>
    <n v="0"/>
    <x v="0"/>
    <n v="0"/>
  </r>
  <r>
    <n v="304"/>
    <x v="6"/>
    <m/>
    <m/>
    <m/>
    <n v="0"/>
    <x v="0"/>
    <n v="0"/>
  </r>
  <r>
    <n v="305"/>
    <x v="6"/>
    <m/>
    <m/>
    <m/>
    <n v="0"/>
    <x v="0"/>
    <n v="0"/>
  </r>
  <r>
    <n v="306"/>
    <x v="6"/>
    <m/>
    <m/>
    <m/>
    <n v="0"/>
    <x v="0"/>
    <n v="0"/>
  </r>
  <r>
    <n v="307"/>
    <x v="6"/>
    <m/>
    <m/>
    <m/>
    <n v="0"/>
    <x v="0"/>
    <n v="0"/>
  </r>
  <r>
    <n v="308"/>
    <x v="6"/>
    <m/>
    <m/>
    <m/>
    <n v="0"/>
    <x v="0"/>
    <n v="0"/>
  </r>
  <r>
    <n v="309"/>
    <x v="6"/>
    <m/>
    <m/>
    <m/>
    <n v="0"/>
    <x v="0"/>
    <n v="0"/>
  </r>
  <r>
    <n v="310"/>
    <x v="6"/>
    <m/>
    <m/>
    <m/>
    <n v="0"/>
    <x v="0"/>
    <n v="0"/>
  </r>
  <r>
    <n v="311"/>
    <x v="6"/>
    <m/>
    <m/>
    <m/>
    <n v="0"/>
    <x v="0"/>
    <n v="0"/>
  </r>
  <r>
    <n v="312"/>
    <x v="6"/>
    <m/>
    <m/>
    <m/>
    <n v="0"/>
    <x v="0"/>
    <n v="0"/>
  </r>
  <r>
    <n v="313"/>
    <x v="6"/>
    <m/>
    <m/>
    <m/>
    <n v="0"/>
    <x v="0"/>
    <n v="0"/>
  </r>
  <r>
    <n v="314"/>
    <x v="6"/>
    <m/>
    <m/>
    <m/>
    <n v="0"/>
    <x v="0"/>
    <n v="0"/>
  </r>
  <r>
    <n v="315"/>
    <x v="6"/>
    <m/>
    <m/>
    <m/>
    <n v="0"/>
    <x v="0"/>
    <n v="0"/>
  </r>
  <r>
    <n v="316"/>
    <x v="6"/>
    <m/>
    <m/>
    <m/>
    <n v="0"/>
    <x v="0"/>
    <n v="0"/>
  </r>
  <r>
    <n v="317"/>
    <x v="6"/>
    <m/>
    <m/>
    <m/>
    <n v="0"/>
    <x v="0"/>
    <n v="0"/>
  </r>
  <r>
    <n v="318"/>
    <x v="6"/>
    <m/>
    <m/>
    <m/>
    <n v="0"/>
    <x v="0"/>
    <n v="0"/>
  </r>
  <r>
    <n v="319"/>
    <x v="6"/>
    <m/>
    <m/>
    <m/>
    <n v="0"/>
    <x v="0"/>
    <n v="0"/>
  </r>
  <r>
    <n v="320"/>
    <x v="6"/>
    <m/>
    <m/>
    <m/>
    <n v="0"/>
    <x v="0"/>
    <n v="0"/>
  </r>
  <r>
    <n v="321"/>
    <x v="6"/>
    <m/>
    <m/>
    <m/>
    <n v="0"/>
    <x v="0"/>
    <n v="0"/>
  </r>
  <r>
    <n v="322"/>
    <x v="6"/>
    <m/>
    <m/>
    <m/>
    <n v="0"/>
    <x v="0"/>
    <n v="0"/>
  </r>
  <r>
    <n v="323"/>
    <x v="6"/>
    <m/>
    <m/>
    <m/>
    <n v="0"/>
    <x v="0"/>
    <n v="0"/>
  </r>
  <r>
    <n v="324"/>
    <x v="6"/>
    <m/>
    <m/>
    <m/>
    <n v="0"/>
    <x v="0"/>
    <n v="0"/>
  </r>
  <r>
    <n v="325"/>
    <x v="6"/>
    <m/>
    <m/>
    <m/>
    <n v="0"/>
    <x v="0"/>
    <n v="0"/>
  </r>
  <r>
    <n v="326"/>
    <x v="6"/>
    <m/>
    <m/>
    <m/>
    <n v="0"/>
    <x v="0"/>
    <n v="0"/>
  </r>
  <r>
    <n v="327"/>
    <x v="6"/>
    <m/>
    <m/>
    <m/>
    <n v="0"/>
    <x v="0"/>
    <n v="0"/>
  </r>
  <r>
    <n v="328"/>
    <x v="6"/>
    <m/>
    <m/>
    <m/>
    <n v="0"/>
    <x v="0"/>
    <n v="0"/>
  </r>
  <r>
    <n v="329"/>
    <x v="6"/>
    <m/>
    <m/>
    <m/>
    <n v="0"/>
    <x v="0"/>
    <n v="0"/>
  </r>
  <r>
    <n v="330"/>
    <x v="6"/>
    <m/>
    <m/>
    <m/>
    <n v="0"/>
    <x v="0"/>
    <n v="0"/>
  </r>
  <r>
    <n v="331"/>
    <x v="6"/>
    <m/>
    <m/>
    <m/>
    <n v="0"/>
    <x v="0"/>
    <n v="0"/>
  </r>
  <r>
    <n v="332"/>
    <x v="6"/>
    <m/>
    <m/>
    <m/>
    <n v="0"/>
    <x v="0"/>
    <n v="0"/>
  </r>
  <r>
    <n v="333"/>
    <x v="6"/>
    <m/>
    <m/>
    <m/>
    <n v="0"/>
    <x v="0"/>
    <n v="0"/>
  </r>
  <r>
    <n v="334"/>
    <x v="6"/>
    <m/>
    <m/>
    <m/>
    <n v="0"/>
    <x v="0"/>
    <n v="0"/>
  </r>
  <r>
    <n v="335"/>
    <x v="6"/>
    <m/>
    <m/>
    <m/>
    <n v="0"/>
    <x v="0"/>
    <n v="0"/>
  </r>
  <r>
    <n v="336"/>
    <x v="6"/>
    <m/>
    <m/>
    <m/>
    <n v="0"/>
    <x v="0"/>
    <n v="0"/>
  </r>
  <r>
    <n v="337"/>
    <x v="6"/>
    <m/>
    <m/>
    <m/>
    <n v="0"/>
    <x v="0"/>
    <n v="0"/>
  </r>
  <r>
    <n v="338"/>
    <x v="6"/>
    <m/>
    <m/>
    <m/>
    <n v="0"/>
    <x v="0"/>
    <n v="0"/>
  </r>
  <r>
    <n v="339"/>
    <x v="6"/>
    <m/>
    <m/>
    <m/>
    <n v="0"/>
    <x v="0"/>
    <n v="0"/>
  </r>
  <r>
    <n v="340"/>
    <x v="6"/>
    <m/>
    <m/>
    <m/>
    <n v="0"/>
    <x v="0"/>
    <n v="0"/>
  </r>
  <r>
    <n v="341"/>
    <x v="6"/>
    <m/>
    <m/>
    <m/>
    <n v="0"/>
    <x v="0"/>
    <n v="0"/>
  </r>
  <r>
    <n v="342"/>
    <x v="6"/>
    <m/>
    <m/>
    <m/>
    <n v="0"/>
    <x v="0"/>
    <n v="0"/>
  </r>
  <r>
    <n v="343"/>
    <x v="6"/>
    <m/>
    <m/>
    <m/>
    <n v="0"/>
    <x v="0"/>
    <n v="0"/>
  </r>
  <r>
    <n v="344"/>
    <x v="6"/>
    <m/>
    <m/>
    <m/>
    <n v="0"/>
    <x v="0"/>
    <n v="0"/>
  </r>
  <r>
    <n v="345"/>
    <x v="6"/>
    <m/>
    <m/>
    <m/>
    <n v="0"/>
    <x v="0"/>
    <n v="0"/>
  </r>
  <r>
    <n v="346"/>
    <x v="6"/>
    <m/>
    <m/>
    <m/>
    <n v="0"/>
    <x v="0"/>
    <n v="0"/>
  </r>
  <r>
    <n v="347"/>
    <x v="6"/>
    <m/>
    <m/>
    <m/>
    <n v="0"/>
    <x v="0"/>
    <n v="0"/>
  </r>
  <r>
    <n v="348"/>
    <x v="6"/>
    <m/>
    <m/>
    <m/>
    <n v="0"/>
    <x v="0"/>
    <n v="0"/>
  </r>
  <r>
    <n v="349"/>
    <x v="6"/>
    <m/>
    <m/>
    <m/>
    <n v="0"/>
    <x v="0"/>
    <n v="0"/>
  </r>
  <r>
    <n v="350"/>
    <x v="6"/>
    <m/>
    <m/>
    <m/>
    <n v="0"/>
    <x v="0"/>
    <n v="0"/>
  </r>
  <r>
    <n v="351"/>
    <x v="6"/>
    <m/>
    <m/>
    <m/>
    <n v="0"/>
    <x v="0"/>
    <n v="0"/>
  </r>
  <r>
    <n v="352"/>
    <x v="6"/>
    <m/>
    <m/>
    <m/>
    <n v="0"/>
    <x v="0"/>
    <n v="0"/>
  </r>
  <r>
    <n v="353"/>
    <x v="6"/>
    <m/>
    <m/>
    <m/>
    <n v="0"/>
    <x v="0"/>
    <n v="0"/>
  </r>
  <r>
    <n v="354"/>
    <x v="6"/>
    <m/>
    <m/>
    <m/>
    <n v="0"/>
    <x v="0"/>
    <n v="0"/>
  </r>
  <r>
    <n v="355"/>
    <x v="6"/>
    <m/>
    <m/>
    <m/>
    <n v="0"/>
    <x v="0"/>
    <n v="0"/>
  </r>
  <r>
    <n v="356"/>
    <x v="6"/>
    <m/>
    <m/>
    <m/>
    <n v="0"/>
    <x v="0"/>
    <n v="0"/>
  </r>
  <r>
    <n v="357"/>
    <x v="6"/>
    <m/>
    <m/>
    <m/>
    <n v="0"/>
    <x v="0"/>
    <n v="0"/>
  </r>
  <r>
    <n v="358"/>
    <x v="6"/>
    <m/>
    <m/>
    <m/>
    <n v="0"/>
    <x v="0"/>
    <n v="0"/>
  </r>
  <r>
    <n v="359"/>
    <x v="6"/>
    <m/>
    <m/>
    <m/>
    <n v="0"/>
    <x v="0"/>
    <n v="0"/>
  </r>
  <r>
    <n v="360"/>
    <x v="6"/>
    <m/>
    <m/>
    <m/>
    <n v="0"/>
    <x v="0"/>
    <n v="0"/>
  </r>
  <r>
    <n v="361"/>
    <x v="6"/>
    <m/>
    <m/>
    <m/>
    <n v="0"/>
    <x v="0"/>
    <n v="0"/>
  </r>
  <r>
    <n v="362"/>
    <x v="6"/>
    <m/>
    <m/>
    <m/>
    <n v="0"/>
    <x v="0"/>
    <n v="0"/>
  </r>
  <r>
    <n v="363"/>
    <x v="6"/>
    <m/>
    <m/>
    <m/>
    <n v="0"/>
    <x v="0"/>
    <n v="0"/>
  </r>
  <r>
    <n v="364"/>
    <x v="6"/>
    <m/>
    <m/>
    <m/>
    <n v="0"/>
    <x v="0"/>
    <n v="0"/>
  </r>
  <r>
    <n v="365"/>
    <x v="6"/>
    <m/>
    <m/>
    <m/>
    <n v="0"/>
    <x v="0"/>
    <n v="0"/>
  </r>
  <r>
    <n v="366"/>
    <x v="6"/>
    <m/>
    <m/>
    <m/>
    <n v="0"/>
    <x v="0"/>
    <n v="0"/>
  </r>
  <r>
    <n v="367"/>
    <x v="6"/>
    <m/>
    <m/>
    <m/>
    <n v="0"/>
    <x v="0"/>
    <n v="0"/>
  </r>
  <r>
    <n v="368"/>
    <x v="6"/>
    <m/>
    <m/>
    <m/>
    <n v="0"/>
    <x v="0"/>
    <n v="0"/>
  </r>
  <r>
    <n v="369"/>
    <x v="6"/>
    <m/>
    <m/>
    <m/>
    <n v="0"/>
    <x v="0"/>
    <n v="0"/>
  </r>
  <r>
    <n v="370"/>
    <x v="6"/>
    <m/>
    <m/>
    <m/>
    <n v="0"/>
    <x v="0"/>
    <n v="0"/>
  </r>
  <r>
    <n v="371"/>
    <x v="6"/>
    <m/>
    <m/>
    <m/>
    <n v="0"/>
    <x v="0"/>
    <n v="0"/>
  </r>
  <r>
    <n v="372"/>
    <x v="6"/>
    <m/>
    <m/>
    <m/>
    <n v="0"/>
    <x v="0"/>
    <n v="0"/>
  </r>
  <r>
    <n v="373"/>
    <x v="6"/>
    <m/>
    <m/>
    <m/>
    <n v="0"/>
    <x v="0"/>
    <n v="0"/>
  </r>
  <r>
    <n v="374"/>
    <x v="6"/>
    <m/>
    <m/>
    <m/>
    <n v="0"/>
    <x v="0"/>
    <n v="0"/>
  </r>
  <r>
    <n v="375"/>
    <x v="6"/>
    <m/>
    <m/>
    <m/>
    <n v="0"/>
    <x v="0"/>
    <n v="0"/>
  </r>
  <r>
    <n v="376"/>
    <x v="6"/>
    <m/>
    <m/>
    <m/>
    <n v="0"/>
    <x v="0"/>
    <n v="0"/>
  </r>
  <r>
    <n v="377"/>
    <x v="6"/>
    <m/>
    <m/>
    <m/>
    <n v="0"/>
    <x v="0"/>
    <n v="0"/>
  </r>
  <r>
    <n v="378"/>
    <x v="6"/>
    <m/>
    <m/>
    <m/>
    <n v="0"/>
    <x v="0"/>
    <n v="0"/>
  </r>
  <r>
    <n v="379"/>
    <x v="6"/>
    <m/>
    <m/>
    <m/>
    <n v="0"/>
    <x v="0"/>
    <n v="0"/>
  </r>
  <r>
    <n v="380"/>
    <x v="6"/>
    <m/>
    <m/>
    <m/>
    <n v="0"/>
    <x v="0"/>
    <n v="0"/>
  </r>
  <r>
    <n v="381"/>
    <x v="6"/>
    <m/>
    <m/>
    <m/>
    <n v="0"/>
    <x v="0"/>
    <n v="0"/>
  </r>
  <r>
    <n v="382"/>
    <x v="6"/>
    <m/>
    <m/>
    <m/>
    <n v="0"/>
    <x v="0"/>
    <n v="0"/>
  </r>
  <r>
    <n v="383"/>
    <x v="6"/>
    <m/>
    <m/>
    <m/>
    <n v="0"/>
    <x v="0"/>
    <n v="0"/>
  </r>
  <r>
    <n v="384"/>
    <x v="6"/>
    <m/>
    <m/>
    <m/>
    <n v="0"/>
    <x v="0"/>
    <n v="0"/>
  </r>
  <r>
    <n v="385"/>
    <x v="6"/>
    <m/>
    <m/>
    <m/>
    <n v="0"/>
    <x v="0"/>
    <n v="0"/>
  </r>
  <r>
    <n v="386"/>
    <x v="6"/>
    <m/>
    <m/>
    <m/>
    <n v="0"/>
    <x v="0"/>
    <n v="0"/>
  </r>
  <r>
    <n v="387"/>
    <x v="6"/>
    <m/>
    <m/>
    <m/>
    <n v="0"/>
    <x v="0"/>
    <n v="0"/>
  </r>
  <r>
    <n v="388"/>
    <x v="6"/>
    <m/>
    <m/>
    <m/>
    <n v="0"/>
    <x v="0"/>
    <n v="0"/>
  </r>
  <r>
    <n v="389"/>
    <x v="6"/>
    <m/>
    <m/>
    <m/>
    <n v="0"/>
    <x v="0"/>
    <n v="0"/>
  </r>
  <r>
    <n v="390"/>
    <x v="6"/>
    <m/>
    <m/>
    <m/>
    <n v="0"/>
    <x v="0"/>
    <n v="0"/>
  </r>
  <r>
    <n v="391"/>
    <x v="6"/>
    <m/>
    <m/>
    <m/>
    <n v="0"/>
    <x v="0"/>
    <n v="0"/>
  </r>
  <r>
    <n v="392"/>
    <x v="6"/>
    <m/>
    <m/>
    <m/>
    <n v="0"/>
    <x v="0"/>
    <n v="0"/>
  </r>
  <r>
    <n v="393"/>
    <x v="6"/>
    <m/>
    <m/>
    <m/>
    <n v="0"/>
    <x v="0"/>
    <n v="0"/>
  </r>
  <r>
    <n v="394"/>
    <x v="6"/>
    <m/>
    <m/>
    <m/>
    <n v="0"/>
    <x v="0"/>
    <n v="0"/>
  </r>
  <r>
    <n v="395"/>
    <x v="6"/>
    <m/>
    <m/>
    <m/>
    <n v="0"/>
    <x v="0"/>
    <n v="0"/>
  </r>
  <r>
    <n v="396"/>
    <x v="6"/>
    <m/>
    <m/>
    <m/>
    <n v="0"/>
    <x v="0"/>
    <n v="0"/>
  </r>
  <r>
    <n v="397"/>
    <x v="6"/>
    <m/>
    <m/>
    <m/>
    <n v="0"/>
    <x v="0"/>
    <n v="0"/>
  </r>
  <r>
    <n v="398"/>
    <x v="6"/>
    <m/>
    <m/>
    <m/>
    <n v="0"/>
    <x v="0"/>
    <n v="0"/>
  </r>
  <r>
    <n v="399"/>
    <x v="6"/>
    <m/>
    <m/>
    <m/>
    <n v="0"/>
    <x v="0"/>
    <n v="0"/>
  </r>
  <r>
    <n v="400"/>
    <x v="6"/>
    <m/>
    <m/>
    <m/>
    <n v="0"/>
    <x v="0"/>
    <n v="0"/>
  </r>
  <r>
    <n v="401"/>
    <x v="6"/>
    <m/>
    <m/>
    <m/>
    <n v="0"/>
    <x v="0"/>
    <n v="0"/>
  </r>
  <r>
    <n v="402"/>
    <x v="6"/>
    <m/>
    <m/>
    <m/>
    <n v="0"/>
    <x v="0"/>
    <n v="0"/>
  </r>
  <r>
    <n v="403"/>
    <x v="6"/>
    <m/>
    <m/>
    <m/>
    <n v="0"/>
    <x v="0"/>
    <n v="0"/>
  </r>
  <r>
    <n v="404"/>
    <x v="6"/>
    <m/>
    <m/>
    <m/>
    <n v="0"/>
    <x v="0"/>
    <n v="0"/>
  </r>
  <r>
    <n v="405"/>
    <x v="6"/>
    <m/>
    <m/>
    <m/>
    <n v="0"/>
    <x v="0"/>
    <n v="0"/>
  </r>
  <r>
    <n v="406"/>
    <x v="6"/>
    <m/>
    <m/>
    <m/>
    <n v="0"/>
    <x v="0"/>
    <n v="0"/>
  </r>
  <r>
    <n v="407"/>
    <x v="6"/>
    <m/>
    <m/>
    <m/>
    <n v="0"/>
    <x v="0"/>
    <n v="0"/>
  </r>
  <r>
    <n v="408"/>
    <x v="6"/>
    <m/>
    <m/>
    <m/>
    <n v="0"/>
    <x v="0"/>
    <n v="0"/>
  </r>
  <r>
    <n v="409"/>
    <x v="6"/>
    <m/>
    <m/>
    <m/>
    <n v="0"/>
    <x v="0"/>
    <n v="0"/>
  </r>
  <r>
    <n v="410"/>
    <x v="6"/>
    <m/>
    <m/>
    <m/>
    <n v="0"/>
    <x v="0"/>
    <n v="0"/>
  </r>
  <r>
    <n v="411"/>
    <x v="6"/>
    <m/>
    <m/>
    <m/>
    <n v="0"/>
    <x v="0"/>
    <n v="0"/>
  </r>
  <r>
    <n v="412"/>
    <x v="6"/>
    <m/>
    <m/>
    <m/>
    <n v="0"/>
    <x v="0"/>
    <n v="0"/>
  </r>
  <r>
    <n v="413"/>
    <x v="6"/>
    <m/>
    <m/>
    <m/>
    <n v="0"/>
    <x v="0"/>
    <n v="0"/>
  </r>
  <r>
    <n v="414"/>
    <x v="6"/>
    <m/>
    <m/>
    <m/>
    <n v="0"/>
    <x v="0"/>
    <n v="0"/>
  </r>
  <r>
    <n v="415"/>
    <x v="6"/>
    <m/>
    <m/>
    <m/>
    <n v="0"/>
    <x v="0"/>
    <n v="0"/>
  </r>
  <r>
    <n v="416"/>
    <x v="6"/>
    <m/>
    <m/>
    <m/>
    <n v="0"/>
    <x v="0"/>
    <n v="0"/>
  </r>
  <r>
    <n v="417"/>
    <x v="6"/>
    <m/>
    <m/>
    <m/>
    <n v="0"/>
    <x v="0"/>
    <n v="0"/>
  </r>
  <r>
    <n v="418"/>
    <x v="6"/>
    <m/>
    <m/>
    <m/>
    <n v="0"/>
    <x v="0"/>
    <n v="0"/>
  </r>
  <r>
    <n v="419"/>
    <x v="6"/>
    <m/>
    <m/>
    <m/>
    <n v="0"/>
    <x v="0"/>
    <n v="0"/>
  </r>
  <r>
    <n v="420"/>
    <x v="6"/>
    <m/>
    <m/>
    <m/>
    <n v="0"/>
    <x v="0"/>
    <n v="0"/>
  </r>
  <r>
    <n v="421"/>
    <x v="6"/>
    <m/>
    <m/>
    <m/>
    <n v="0"/>
    <x v="0"/>
    <n v="0"/>
  </r>
  <r>
    <n v="422"/>
    <x v="6"/>
    <m/>
    <m/>
    <m/>
    <n v="0"/>
    <x v="0"/>
    <n v="0"/>
  </r>
  <r>
    <n v="423"/>
    <x v="6"/>
    <m/>
    <m/>
    <m/>
    <n v="0"/>
    <x v="0"/>
    <n v="0"/>
  </r>
  <r>
    <n v="424"/>
    <x v="6"/>
    <m/>
    <m/>
    <m/>
    <n v="0"/>
    <x v="0"/>
    <n v="0"/>
  </r>
  <r>
    <n v="425"/>
    <x v="6"/>
    <m/>
    <m/>
    <m/>
    <n v="0"/>
    <x v="0"/>
    <n v="0"/>
  </r>
  <r>
    <n v="426"/>
    <x v="6"/>
    <m/>
    <m/>
    <m/>
    <n v="0"/>
    <x v="0"/>
    <n v="0"/>
  </r>
  <r>
    <n v="427"/>
    <x v="6"/>
    <m/>
    <m/>
    <m/>
    <n v="0"/>
    <x v="0"/>
    <n v="0"/>
  </r>
  <r>
    <n v="428"/>
    <x v="6"/>
    <m/>
    <m/>
    <m/>
    <n v="0"/>
    <x v="0"/>
    <n v="0"/>
  </r>
  <r>
    <n v="429"/>
    <x v="6"/>
    <m/>
    <m/>
    <m/>
    <n v="0"/>
    <x v="0"/>
    <n v="0"/>
  </r>
  <r>
    <n v="430"/>
    <x v="6"/>
    <m/>
    <m/>
    <m/>
    <n v="0"/>
    <x v="0"/>
    <n v="0"/>
  </r>
  <r>
    <n v="431"/>
    <x v="6"/>
    <m/>
    <m/>
    <m/>
    <n v="0"/>
    <x v="0"/>
    <n v="0"/>
  </r>
  <r>
    <n v="432"/>
    <x v="6"/>
    <m/>
    <m/>
    <m/>
    <n v="0"/>
    <x v="0"/>
    <n v="0"/>
  </r>
  <r>
    <n v="433"/>
    <x v="6"/>
    <m/>
    <m/>
    <m/>
    <n v="0"/>
    <x v="0"/>
    <n v="0"/>
  </r>
  <r>
    <n v="434"/>
    <x v="6"/>
    <m/>
    <m/>
    <m/>
    <n v="0"/>
    <x v="0"/>
    <n v="0"/>
  </r>
  <r>
    <n v="435"/>
    <x v="6"/>
    <m/>
    <m/>
    <m/>
    <n v="0"/>
    <x v="0"/>
    <n v="0"/>
  </r>
  <r>
    <n v="436"/>
    <x v="6"/>
    <m/>
    <m/>
    <m/>
    <n v="0"/>
    <x v="0"/>
    <n v="0"/>
  </r>
  <r>
    <n v="437"/>
    <x v="6"/>
    <m/>
    <m/>
    <m/>
    <n v="0"/>
    <x v="0"/>
    <n v="0"/>
  </r>
  <r>
    <n v="438"/>
    <x v="6"/>
    <m/>
    <m/>
    <m/>
    <n v="0"/>
    <x v="0"/>
    <n v="0"/>
  </r>
  <r>
    <n v="439"/>
    <x v="6"/>
    <m/>
    <m/>
    <m/>
    <n v="0"/>
    <x v="0"/>
    <n v="0"/>
  </r>
  <r>
    <n v="440"/>
    <x v="6"/>
    <m/>
    <m/>
    <m/>
    <n v="0"/>
    <x v="0"/>
    <n v="0"/>
  </r>
  <r>
    <n v="441"/>
    <x v="6"/>
    <m/>
    <m/>
    <m/>
    <n v="0"/>
    <x v="0"/>
    <n v="0"/>
  </r>
  <r>
    <n v="442"/>
    <x v="6"/>
    <m/>
    <m/>
    <m/>
    <n v="0"/>
    <x v="0"/>
    <n v="0"/>
  </r>
  <r>
    <n v="443"/>
    <x v="6"/>
    <m/>
    <m/>
    <m/>
    <n v="0"/>
    <x v="0"/>
    <n v="0"/>
  </r>
  <r>
    <n v="444"/>
    <x v="6"/>
    <m/>
    <m/>
    <m/>
    <n v="0"/>
    <x v="0"/>
    <n v="0"/>
  </r>
  <r>
    <n v="445"/>
    <x v="6"/>
    <m/>
    <m/>
    <m/>
    <n v="0"/>
    <x v="0"/>
    <n v="0"/>
  </r>
  <r>
    <n v="446"/>
    <x v="6"/>
    <m/>
    <m/>
    <m/>
    <n v="0"/>
    <x v="0"/>
    <n v="0"/>
  </r>
  <r>
    <n v="447"/>
    <x v="6"/>
    <m/>
    <m/>
    <m/>
    <n v="0"/>
    <x v="0"/>
    <n v="0"/>
  </r>
  <r>
    <n v="448"/>
    <x v="6"/>
    <m/>
    <m/>
    <m/>
    <n v="0"/>
    <x v="0"/>
    <n v="0"/>
  </r>
  <r>
    <n v="449"/>
    <x v="6"/>
    <m/>
    <m/>
    <m/>
    <n v="0"/>
    <x v="0"/>
    <n v="0"/>
  </r>
  <r>
    <n v="450"/>
    <x v="6"/>
    <m/>
    <m/>
    <m/>
    <n v="0"/>
    <x v="0"/>
    <n v="0"/>
  </r>
  <r>
    <n v="451"/>
    <x v="6"/>
    <m/>
    <m/>
    <m/>
    <n v="0"/>
    <x v="0"/>
    <n v="0"/>
  </r>
  <r>
    <n v="452"/>
    <x v="6"/>
    <m/>
    <m/>
    <m/>
    <n v="0"/>
    <x v="0"/>
    <n v="0"/>
  </r>
  <r>
    <n v="453"/>
    <x v="6"/>
    <m/>
    <m/>
    <m/>
    <n v="0"/>
    <x v="0"/>
    <n v="0"/>
  </r>
  <r>
    <n v="454"/>
    <x v="6"/>
    <m/>
    <m/>
    <m/>
    <n v="0"/>
    <x v="0"/>
    <n v="0"/>
  </r>
  <r>
    <n v="455"/>
    <x v="6"/>
    <m/>
    <m/>
    <m/>
    <n v="0"/>
    <x v="0"/>
    <n v="0"/>
  </r>
  <r>
    <n v="456"/>
    <x v="6"/>
    <m/>
    <m/>
    <m/>
    <n v="0"/>
    <x v="0"/>
    <n v="0"/>
  </r>
  <r>
    <n v="457"/>
    <x v="6"/>
    <m/>
    <m/>
    <m/>
    <n v="0"/>
    <x v="0"/>
    <n v="0"/>
  </r>
  <r>
    <n v="458"/>
    <x v="6"/>
    <m/>
    <m/>
    <m/>
    <n v="0"/>
    <x v="0"/>
    <n v="0"/>
  </r>
  <r>
    <n v="459"/>
    <x v="6"/>
    <m/>
    <m/>
    <m/>
    <n v="0"/>
    <x v="0"/>
    <n v="0"/>
  </r>
  <r>
    <n v="460"/>
    <x v="6"/>
    <m/>
    <m/>
    <m/>
    <n v="0"/>
    <x v="0"/>
    <n v="0"/>
  </r>
  <r>
    <n v="461"/>
    <x v="6"/>
    <m/>
    <m/>
    <m/>
    <n v="0"/>
    <x v="0"/>
    <n v="0"/>
  </r>
  <r>
    <n v="462"/>
    <x v="6"/>
    <m/>
    <m/>
    <m/>
    <n v="0"/>
    <x v="0"/>
    <n v="0"/>
  </r>
  <r>
    <n v="463"/>
    <x v="6"/>
    <m/>
    <m/>
    <m/>
    <n v="0"/>
    <x v="0"/>
    <n v="0"/>
  </r>
  <r>
    <n v="464"/>
    <x v="6"/>
    <m/>
    <m/>
    <m/>
    <n v="0"/>
    <x v="0"/>
    <n v="0"/>
  </r>
  <r>
    <n v="465"/>
    <x v="6"/>
    <m/>
    <m/>
    <m/>
    <n v="0"/>
    <x v="0"/>
    <n v="0"/>
  </r>
  <r>
    <n v="466"/>
    <x v="6"/>
    <m/>
    <m/>
    <m/>
    <n v="0"/>
    <x v="0"/>
    <n v="0"/>
  </r>
  <r>
    <n v="467"/>
    <x v="6"/>
    <m/>
    <m/>
    <m/>
    <n v="0"/>
    <x v="0"/>
    <n v="0"/>
  </r>
  <r>
    <n v="468"/>
    <x v="6"/>
    <m/>
    <m/>
    <m/>
    <n v="0"/>
    <x v="0"/>
    <n v="0"/>
  </r>
  <r>
    <n v="469"/>
    <x v="6"/>
    <m/>
    <m/>
    <m/>
    <n v="0"/>
    <x v="0"/>
    <n v="0"/>
  </r>
  <r>
    <n v="470"/>
    <x v="6"/>
    <m/>
    <m/>
    <m/>
    <n v="0"/>
    <x v="0"/>
    <n v="0"/>
  </r>
  <r>
    <n v="471"/>
    <x v="6"/>
    <m/>
    <m/>
    <m/>
    <n v="0"/>
    <x v="0"/>
    <n v="0"/>
  </r>
  <r>
    <n v="472"/>
    <x v="6"/>
    <m/>
    <m/>
    <m/>
    <n v="0"/>
    <x v="0"/>
    <n v="0"/>
  </r>
  <r>
    <n v="473"/>
    <x v="6"/>
    <m/>
    <m/>
    <m/>
    <n v="0"/>
    <x v="0"/>
    <n v="0"/>
  </r>
  <r>
    <n v="474"/>
    <x v="6"/>
    <m/>
    <m/>
    <m/>
    <n v="0"/>
    <x v="0"/>
    <n v="0"/>
  </r>
  <r>
    <n v="475"/>
    <x v="6"/>
    <m/>
    <m/>
    <m/>
    <n v="0"/>
    <x v="0"/>
    <n v="0"/>
  </r>
  <r>
    <n v="476"/>
    <x v="6"/>
    <m/>
    <m/>
    <m/>
    <n v="0"/>
    <x v="0"/>
    <n v="0"/>
  </r>
  <r>
    <n v="477"/>
    <x v="6"/>
    <m/>
    <m/>
    <m/>
    <n v="0"/>
    <x v="0"/>
    <n v="0"/>
  </r>
  <r>
    <n v="478"/>
    <x v="6"/>
    <m/>
    <m/>
    <m/>
    <n v="0"/>
    <x v="0"/>
    <n v="0"/>
  </r>
  <r>
    <n v="479"/>
    <x v="6"/>
    <m/>
    <m/>
    <m/>
    <n v="0"/>
    <x v="0"/>
    <n v="0"/>
  </r>
  <r>
    <n v="480"/>
    <x v="6"/>
    <m/>
    <m/>
    <m/>
    <n v="0"/>
    <x v="0"/>
    <n v="0"/>
  </r>
  <r>
    <n v="481"/>
    <x v="6"/>
    <m/>
    <m/>
    <m/>
    <n v="0"/>
    <x v="0"/>
    <n v="0"/>
  </r>
  <r>
    <n v="482"/>
    <x v="6"/>
    <m/>
    <m/>
    <m/>
    <n v="0"/>
    <x v="0"/>
    <n v="0"/>
  </r>
  <r>
    <n v="483"/>
    <x v="6"/>
    <m/>
    <m/>
    <m/>
    <n v="0"/>
    <x v="0"/>
    <n v="0"/>
  </r>
  <r>
    <n v="484"/>
    <x v="6"/>
    <m/>
    <m/>
    <m/>
    <n v="0"/>
    <x v="0"/>
    <n v="0"/>
  </r>
  <r>
    <n v="485"/>
    <x v="6"/>
    <m/>
    <m/>
    <m/>
    <n v="0"/>
    <x v="0"/>
    <n v="0"/>
  </r>
  <r>
    <n v="486"/>
    <x v="6"/>
    <m/>
    <m/>
    <m/>
    <n v="0"/>
    <x v="0"/>
    <n v="0"/>
  </r>
  <r>
    <n v="487"/>
    <x v="6"/>
    <m/>
    <m/>
    <m/>
    <n v="0"/>
    <x v="0"/>
    <n v="0"/>
  </r>
  <r>
    <n v="488"/>
    <x v="6"/>
    <m/>
    <m/>
    <m/>
    <n v="0"/>
    <x v="0"/>
    <n v="0"/>
  </r>
  <r>
    <n v="489"/>
    <x v="6"/>
    <m/>
    <m/>
    <m/>
    <n v="0"/>
    <x v="0"/>
    <n v="0"/>
  </r>
  <r>
    <n v="490"/>
    <x v="6"/>
    <m/>
    <m/>
    <m/>
    <n v="0"/>
    <x v="0"/>
    <n v="0"/>
  </r>
  <r>
    <n v="491"/>
    <x v="6"/>
    <m/>
    <m/>
    <m/>
    <n v="0"/>
    <x v="0"/>
    <n v="0"/>
  </r>
  <r>
    <n v="492"/>
    <x v="6"/>
    <m/>
    <m/>
    <m/>
    <n v="0"/>
    <x v="0"/>
    <n v="0"/>
  </r>
  <r>
    <n v="493"/>
    <x v="6"/>
    <m/>
    <m/>
    <m/>
    <n v="0"/>
    <x v="0"/>
    <n v="0"/>
  </r>
  <r>
    <n v="494"/>
    <x v="6"/>
    <m/>
    <m/>
    <m/>
    <n v="0"/>
    <x v="0"/>
    <n v="0"/>
  </r>
  <r>
    <n v="495"/>
    <x v="6"/>
    <m/>
    <m/>
    <m/>
    <n v="0"/>
    <x v="0"/>
    <n v="0"/>
  </r>
  <r>
    <n v="496"/>
    <x v="6"/>
    <m/>
    <m/>
    <m/>
    <n v="0"/>
    <x v="0"/>
    <n v="0"/>
  </r>
  <r>
    <n v="497"/>
    <x v="6"/>
    <m/>
    <m/>
    <m/>
    <n v="0"/>
    <x v="0"/>
    <n v="0"/>
  </r>
  <r>
    <n v="498"/>
    <x v="6"/>
    <m/>
    <m/>
    <m/>
    <n v="0"/>
    <x v="0"/>
    <n v="0"/>
  </r>
  <r>
    <n v="499"/>
    <x v="6"/>
    <m/>
    <m/>
    <m/>
    <n v="0"/>
    <x v="0"/>
    <n v="0"/>
  </r>
  <r>
    <n v="500"/>
    <x v="6"/>
    <m/>
    <m/>
    <m/>
    <n v="0"/>
    <x v="0"/>
    <n v="0"/>
  </r>
  <r>
    <m/>
    <x v="6"/>
    <m/>
    <m/>
    <m/>
    <m/>
    <x v="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24E274-6507-490F-8E6D-0E837850E690}" name="Tabela dinâmica3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7" indent="0" outline="1" outlineData="1" multipleFieldFilters="0" chartFormat="14">
  <location ref="H1:I9" firstHeaderRow="1" firstDataRow="1" firstDataCol="1"/>
  <pivotFields count="8">
    <pivotField showAll="0"/>
    <pivotField axis="axisRow" showAll="0" measureFilter="1" sortType="descending">
      <items count="8">
        <item x="6"/>
        <item x="0"/>
        <item x="1"/>
        <item x="2"/>
        <item x="3"/>
        <item x="4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8">
    <i>
      <x v="1"/>
    </i>
    <i>
      <x v="2"/>
    </i>
    <i>
      <x v="5"/>
    </i>
    <i>
      <x v="4"/>
    </i>
    <i>
      <x v="6"/>
    </i>
    <i>
      <x/>
    </i>
    <i>
      <x v="3"/>
    </i>
    <i t="grand">
      <x/>
    </i>
  </rowItems>
  <colItems count="1">
    <i/>
  </colItems>
  <dataFields count="1">
    <dataField name="Soma de Saldo Estoque R$" fld="7" baseField="0" baseItem="0"/>
  </dataFields>
  <formats count="2">
    <format dxfId="1">
      <pivotArea outline="0" collapsedLevelsAreSubtotals="1" fieldPosition="0"/>
    </format>
    <format dxfId="0">
      <pivotArea dataOnly="0" labelOnly="1" outline="0" axis="axisValues" fieldPosition="0"/>
    </format>
  </formats>
  <chartFormats count="1">
    <chartFormat chart="1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6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68DB72-EE67-4C88-8B51-24A760898D32}" name="Tabela dinâmica6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7" indent="0" outline="1" outlineData="1" multipleFieldFilters="0" chartFormat="11">
  <location ref="Y3:Z6" firstHeaderRow="1" firstDataRow="1" firstDataCol="1" rowPageCount="1" colPageCount="1"/>
  <pivotFields count="8">
    <pivotField showAll="0"/>
    <pivotField axis="axisRow" showAll="0" measureFilter="1" sortType="descending">
      <items count="12">
        <item sd="0" m="1" x="5"/>
        <item sd="0" x="0"/>
        <item sd="0" m="1" x="10"/>
        <item sd="0" m="1" x="9"/>
        <item sd="0" m="1" x="8"/>
        <item sd="0" m="1" x="7"/>
        <item sd="0" m="1" x="6"/>
        <item sd="0" m="1" x="3"/>
        <item sd="0" m="1" x="4"/>
        <item sd="0" x="2"/>
        <item x="1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Page" multipleItemSelectionAllowed="1" showAll="0">
      <items count="4">
        <item x="0"/>
        <item h="1" x="1"/>
        <item h="1" x="2"/>
        <item t="default"/>
      </items>
    </pivotField>
    <pivotField showAll="0" defaultSubtotal="0"/>
  </pivotFields>
  <rowFields count="1">
    <field x="1"/>
  </rowFields>
  <rowItems count="3">
    <i>
      <x v="10"/>
    </i>
    <i>
      <x v="1"/>
    </i>
    <i t="grand">
      <x/>
    </i>
  </rowItems>
  <colItems count="1">
    <i/>
  </colItems>
  <pageFields count="1">
    <pageField fld="6" hier="-1"/>
  </pageFields>
  <dataFields count="1">
    <dataField name="Soma de Quantidade" fld="2" baseField="0" baseItem="0"/>
  </dataFields>
  <chartFormats count="2"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6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F2B981-F800-49D7-B345-7F535F768E27}" name="Tabela dinâmica5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7" indent="0" outline="1" outlineData="1" multipleFieldFilters="0" chartFormat="8">
  <location ref="U3:V6" firstHeaderRow="1" firstDataRow="1" firstDataCol="1" rowPageCount="1" colPageCount="1"/>
  <pivotFields count="8">
    <pivotField showAll="0"/>
    <pivotField axis="axisRow" showAll="0" measureFilter="1" sortType="descending">
      <items count="12">
        <item sd="0" m="1" x="5"/>
        <item sd="0" x="0"/>
        <item sd="0" m="1" x="10"/>
        <item sd="0" m="1" x="9"/>
        <item sd="0" m="1" x="8"/>
        <item sd="0" m="1" x="7"/>
        <item sd="0" m="1" x="6"/>
        <item sd="0" m="1" x="3"/>
        <item sd="0" m="1" x="4"/>
        <item sd="0" x="2"/>
        <item x="1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Page" multipleItemSelectionAllowed="1" showAll="0">
      <items count="4">
        <item h="1" x="0"/>
        <item x="1"/>
        <item h="1" x="2"/>
        <item t="default"/>
      </items>
    </pivotField>
    <pivotField showAll="0" defaultSubtotal="0"/>
  </pivotFields>
  <rowFields count="1">
    <field x="1"/>
  </rowFields>
  <rowItems count="3">
    <i>
      <x v="10"/>
    </i>
    <i>
      <x v="1"/>
    </i>
    <i t="grand">
      <x/>
    </i>
  </rowItems>
  <colItems count="1">
    <i/>
  </colItems>
  <pageFields count="1">
    <pageField fld="6" hier="-1"/>
  </pageFields>
  <dataFields count="1">
    <dataField name="Soma de Quantidade" fld="2" baseField="0" baseItem="0"/>
  </dataFields>
  <chartFormats count="1"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2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F0A54F-0030-4842-BF37-84C924EE1BA9}" name="Tabela dinâmica4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7" indent="0" outline="1" outlineData="1" multipleFieldFilters="0" chartFormat="1">
  <location ref="L4:N6" firstHeaderRow="1" firstDataRow="1" firstDataCol="2" rowPageCount="1" colPageCount="1"/>
  <pivotFields count="8">
    <pivotField showAll="0"/>
    <pivotField axis="axisRow" showAll="0" measureFilter="1">
      <items count="12">
        <item m="1" x="5"/>
        <item x="0"/>
        <item m="1" x="10"/>
        <item m="1" x="9"/>
        <item m="1" x="4"/>
        <item x="2"/>
        <item m="1" x="8"/>
        <item m="1" x="7"/>
        <item m="1" x="6"/>
        <item m="1" x="3"/>
        <item x="1"/>
        <item t="default"/>
      </items>
    </pivotField>
    <pivotField dataField="1" showAll="0"/>
    <pivotField showAll="0"/>
    <pivotField axis="axisRow" outline="0" multipleItemSelectionAllowed="1" showAll="0" sortType="descending" defaultSubtotal="0">
      <items count="368">
        <item x="305"/>
        <item x="91"/>
        <item x="152"/>
        <item x="213"/>
        <item x="31"/>
        <item x="366"/>
        <item x="244"/>
        <item x="274"/>
        <item x="304"/>
        <item x="335"/>
        <item x="90"/>
        <item x="151"/>
        <item x="182"/>
        <item x="212"/>
        <item x="30"/>
        <item x="365"/>
        <item x="243"/>
        <item x="121"/>
        <item x="273"/>
        <item x="303"/>
        <item x="334"/>
        <item x="89"/>
        <item x="150"/>
        <item x="181"/>
        <item x="211"/>
        <item x="29"/>
        <item x="60"/>
        <item x="364"/>
        <item x="242"/>
        <item x="120"/>
        <item x="272"/>
        <item x="302"/>
        <item x="333"/>
        <item x="88"/>
        <item x="149"/>
        <item x="180"/>
        <item x="210"/>
        <item x="28"/>
        <item x="59"/>
        <item x="363"/>
        <item x="241"/>
        <item x="119"/>
        <item x="271"/>
        <item x="301"/>
        <item x="332"/>
        <item x="87"/>
        <item x="148"/>
        <item x="179"/>
        <item x="209"/>
        <item x="27"/>
        <item x="58"/>
        <item x="362"/>
        <item x="240"/>
        <item x="118"/>
        <item x="270"/>
        <item x="300"/>
        <item x="331"/>
        <item x="86"/>
        <item x="147"/>
        <item x="178"/>
        <item x="208"/>
        <item x="26"/>
        <item x="57"/>
        <item x="361"/>
        <item x="239"/>
        <item x="117"/>
        <item x="269"/>
        <item x="299"/>
        <item x="330"/>
        <item x="85"/>
        <item x="146"/>
        <item x="177"/>
        <item x="207"/>
        <item x="25"/>
        <item x="56"/>
        <item x="360"/>
        <item x="238"/>
        <item x="116"/>
        <item x="268"/>
        <item x="298"/>
        <item x="329"/>
        <item x="84"/>
        <item x="145"/>
        <item x="176"/>
        <item x="206"/>
        <item x="24"/>
        <item x="55"/>
        <item x="359"/>
        <item x="237"/>
        <item x="115"/>
        <item x="267"/>
        <item x="297"/>
        <item x="328"/>
        <item x="83"/>
        <item x="144"/>
        <item x="175"/>
        <item x="205"/>
        <item x="23"/>
        <item x="54"/>
        <item x="358"/>
        <item x="236"/>
        <item x="114"/>
        <item x="266"/>
        <item x="296"/>
        <item x="327"/>
        <item x="82"/>
        <item x="143"/>
        <item x="174"/>
        <item x="204"/>
        <item x="22"/>
        <item x="53"/>
        <item x="357"/>
        <item x="235"/>
        <item x="113"/>
        <item x="265"/>
        <item x="295"/>
        <item x="326"/>
        <item x="81"/>
        <item x="142"/>
        <item x="173"/>
        <item x="203"/>
        <item x="21"/>
        <item x="52"/>
        <item x="356"/>
        <item x="234"/>
        <item x="112"/>
        <item x="264"/>
        <item x="294"/>
        <item x="325"/>
        <item x="80"/>
        <item x="141"/>
        <item x="172"/>
        <item x="202"/>
        <item x="20"/>
        <item x="51"/>
        <item x="355"/>
        <item x="233"/>
        <item x="111"/>
        <item x="263"/>
        <item x="293"/>
        <item x="324"/>
        <item x="79"/>
        <item x="140"/>
        <item x="171"/>
        <item x="201"/>
        <item x="19"/>
        <item x="50"/>
        <item x="354"/>
        <item x="232"/>
        <item x="110"/>
        <item x="262"/>
        <item x="292"/>
        <item x="323"/>
        <item x="78"/>
        <item x="139"/>
        <item x="170"/>
        <item x="200"/>
        <item x="18"/>
        <item x="49"/>
        <item x="353"/>
        <item x="231"/>
        <item x="109"/>
        <item x="261"/>
        <item x="291"/>
        <item x="322"/>
        <item x="77"/>
        <item x="138"/>
        <item x="169"/>
        <item x="199"/>
        <item x="17"/>
        <item x="48"/>
        <item x="352"/>
        <item x="230"/>
        <item x="108"/>
        <item x="260"/>
        <item x="290"/>
        <item x="321"/>
        <item x="76"/>
        <item x="137"/>
        <item x="168"/>
        <item x="198"/>
        <item x="16"/>
        <item x="47"/>
        <item x="351"/>
        <item x="229"/>
        <item x="107"/>
        <item x="259"/>
        <item x="289"/>
        <item x="320"/>
        <item x="75"/>
        <item x="136"/>
        <item x="167"/>
        <item x="197"/>
        <item x="15"/>
        <item x="46"/>
        <item x="350"/>
        <item x="228"/>
        <item x="106"/>
        <item x="258"/>
        <item x="288"/>
        <item x="319"/>
        <item x="74"/>
        <item x="135"/>
        <item x="166"/>
        <item x="196"/>
        <item x="14"/>
        <item x="45"/>
        <item x="349"/>
        <item x="227"/>
        <item x="105"/>
        <item x="257"/>
        <item x="287"/>
        <item x="318"/>
        <item x="73"/>
        <item x="134"/>
        <item x="165"/>
        <item x="195"/>
        <item x="13"/>
        <item x="44"/>
        <item x="348"/>
        <item x="226"/>
        <item x="104"/>
        <item x="256"/>
        <item x="286"/>
        <item x="317"/>
        <item x="72"/>
        <item x="133"/>
        <item x="164"/>
        <item x="194"/>
        <item x="12"/>
        <item x="43"/>
        <item x="347"/>
        <item x="225"/>
        <item x="103"/>
        <item x="255"/>
        <item x="285"/>
        <item x="316"/>
        <item x="71"/>
        <item x="132"/>
        <item x="163"/>
        <item x="193"/>
        <item x="11"/>
        <item x="42"/>
        <item x="346"/>
        <item x="224"/>
        <item x="102"/>
        <item x="254"/>
        <item x="284"/>
        <item x="315"/>
        <item x="70"/>
        <item x="131"/>
        <item x="162"/>
        <item x="192"/>
        <item x="10"/>
        <item x="41"/>
        <item x="345"/>
        <item x="223"/>
        <item x="101"/>
        <item x="253"/>
        <item x="283"/>
        <item x="314"/>
        <item x="69"/>
        <item x="130"/>
        <item x="161"/>
        <item x="191"/>
        <item x="9"/>
        <item x="40"/>
        <item x="344"/>
        <item x="222"/>
        <item x="100"/>
        <item x="252"/>
        <item x="282"/>
        <item x="313"/>
        <item x="68"/>
        <item x="129"/>
        <item x="160"/>
        <item x="190"/>
        <item x="8"/>
        <item x="39"/>
        <item x="343"/>
        <item x="221"/>
        <item x="99"/>
        <item x="251"/>
        <item x="281"/>
        <item x="312"/>
        <item x="67"/>
        <item x="128"/>
        <item x="159"/>
        <item x="189"/>
        <item x="7"/>
        <item x="38"/>
        <item x="342"/>
        <item x="220"/>
        <item x="98"/>
        <item x="250"/>
        <item x="280"/>
        <item x="311"/>
        <item x="66"/>
        <item x="127"/>
        <item x="158"/>
        <item x="188"/>
        <item x="6"/>
        <item x="37"/>
        <item x="341"/>
        <item x="219"/>
        <item x="97"/>
        <item x="249"/>
        <item x="279"/>
        <item x="310"/>
        <item x="65"/>
        <item x="126"/>
        <item x="157"/>
        <item x="187"/>
        <item x="5"/>
        <item x="36"/>
        <item x="340"/>
        <item x="218"/>
        <item x="96"/>
        <item x="248"/>
        <item x="278"/>
        <item x="309"/>
        <item x="64"/>
        <item x="125"/>
        <item x="156"/>
        <item x="186"/>
        <item x="4"/>
        <item x="35"/>
        <item x="339"/>
        <item x="217"/>
        <item x="95"/>
        <item x="247"/>
        <item x="277"/>
        <item x="308"/>
        <item x="63"/>
        <item x="124"/>
        <item x="155"/>
        <item x="185"/>
        <item x="3"/>
        <item x="34"/>
        <item x="338"/>
        <item x="216"/>
        <item x="94"/>
        <item x="246"/>
        <item x="276"/>
        <item x="307"/>
        <item x="62"/>
        <item x="123"/>
        <item x="154"/>
        <item x="184"/>
        <item x="2"/>
        <item x="33"/>
        <item x="337"/>
        <item x="215"/>
        <item x="93"/>
        <item x="245"/>
        <item x="275"/>
        <item x="306"/>
        <item x="61"/>
        <item x="122"/>
        <item x="153"/>
        <item x="183"/>
        <item x="1"/>
        <item x="32"/>
        <item x="336"/>
        <item x="214"/>
        <item x="92"/>
        <item h="1" x="367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axis="axisPage" multipleItemSelectionAllowed="1" showAll="0">
      <items count="4">
        <item x="0"/>
        <item h="1" x="1"/>
        <item h="1" x="2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4"/>
    <field x="1"/>
  </rowFields>
  <rowItems count="2">
    <i>
      <x v="272"/>
      <x v="1"/>
    </i>
    <i r="1">
      <x v="10"/>
    </i>
  </rowItems>
  <colItems count="1">
    <i/>
  </colItems>
  <pageFields count="1">
    <pageField fld="6" hier="-1"/>
  </pageFields>
  <dataFields count="1">
    <dataField name="Soma de Quantidade" fld="2" baseField="0" baseItem="0"/>
  </dataFields>
  <pivotTableStyleInfo name="PivotStyleLight16" showRowHeaders="1" showColHeaders="1" showRowStripes="0" showColStripes="0" showLastColumn="1"/>
  <filters count="1">
    <filter fld="1" type="count" evalOrder="-1" id="3" iMeasureFld="0">
      <autoFilter ref="A1">
        <filterColumn colId="0">
          <top10 top="0"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FBAFF4-A2B6-48AE-9725-AB5323600ED8}" name="Tabela dinâmica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7" indent="0" outline="1" outlineData="1" multipleFieldFilters="0" chartFormat="10">
  <location ref="E1:F9" firstHeaderRow="1" firstDataRow="1" firstDataCol="1"/>
  <pivotFields count="5">
    <pivotField axis="axisRow" showAll="0" measureFilter="1" sortType="descending">
      <items count="13">
        <item x="6"/>
        <item m="1" x="10"/>
        <item m="1" x="9"/>
        <item m="1" x="7"/>
        <item m="1" x="8"/>
        <item m="1" x="11"/>
        <item x="0"/>
        <item x="1"/>
        <item x="2"/>
        <item x="3"/>
        <item x="4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</pivotFields>
  <rowFields count="1">
    <field x="0"/>
  </rowFields>
  <rowItems count="8">
    <i>
      <x v="6"/>
    </i>
    <i>
      <x v="7"/>
    </i>
    <i>
      <x v="10"/>
    </i>
    <i>
      <x v="9"/>
    </i>
    <i>
      <x v="11"/>
    </i>
    <i>
      <x/>
    </i>
    <i>
      <x v="8"/>
    </i>
    <i t="grand">
      <x/>
    </i>
  </rowItems>
  <colItems count="1">
    <i/>
  </colItems>
  <dataFields count="1">
    <dataField name="Soma de Saldo Estoque" fld="4" baseField="0" baseItem="0"/>
  </dataField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ount" evalOrder="-1" id="3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BEE1C7-C028-418C-9CD5-920FA213E556}" name="Tabela dinâ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7" indent="0" outline="1" outlineData="1" multipleFieldFilters="0" chartFormat="3">
  <location ref="A3:B9" firstHeaderRow="1" firstDataRow="1" firstDataCol="1" rowPageCount="1" colPageCount="1"/>
  <pivotFields count="8">
    <pivotField showAll="0"/>
    <pivotField axis="axisRow" showAll="0" measureFilter="1" sortType="ascending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dataField="1" showAll="0"/>
    <pivotField axis="axisPage" multipleItemSelectionAllowed="1" showAll="0">
      <items count="4">
        <item h="1" x="0"/>
        <item x="1"/>
        <item h="1" x="2"/>
        <item t="default"/>
      </items>
    </pivotField>
    <pivotField showAll="0"/>
  </pivotFields>
  <rowFields count="1">
    <field x="1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pageFields count="1">
    <pageField fld="6" hier="-1"/>
  </pageFields>
  <dataFields count="1">
    <dataField name="Soma de Saldo Estoque" fld="5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2" iMeasureFld="0">
      <autoFilter ref="A1">
        <filterColumn colId="0">
          <top10 top="0"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9F508B4-DDFC-437C-A262-CF9A86D44273}" name="Tabela2" displayName="Tabela2" ref="A1:D1000" totalsRowShown="0" headerRowDxfId="32" headerRowBorderDxfId="31" tableBorderDxfId="30" totalsRowBorderDxfId="29">
  <autoFilter ref="A1:D1000" xr:uid="{7463869F-73E1-49B3-A17B-353E30ADE54D}"/>
  <tableColumns count="4">
    <tableColumn id="1" xr3:uid="{CC4648DB-CF4A-430B-A638-59ECEA534FA9}" name="Código" dataDxfId="28"/>
    <tableColumn id="2" xr3:uid="{98652264-E1FF-498E-A0C1-DA57B696C805}" name="Nome" dataDxfId="27"/>
    <tableColumn id="3" xr3:uid="{8857E88F-D222-4176-8D8F-216A57C7B314}" name="Endereço" dataDxfId="26"/>
    <tableColumn id="4" xr3:uid="{2C9DF83B-AD13-4822-B964-944C62E81304}" name="Telefone" dataDxfId="25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3E7936-02B0-43A1-8D78-32757AE9C4D1}" name="Tabela3" displayName="Tabela3" ref="A1:H501" totalsRowShown="0" headerRowDxfId="24">
  <autoFilter ref="A1:H501" xr:uid="{BEAA479C-D947-487B-AE59-0AF5993E3F13}"/>
  <tableColumns count="8">
    <tableColumn id="1" xr3:uid="{D2E392E5-3D83-4C50-B961-DFC31941983E}" name="Código" dataDxfId="23"/>
    <tableColumn id="2" xr3:uid="{777EDE09-14A6-48BB-9253-BD08F7D54DA0}" name="Descrição" dataDxfId="22"/>
    <tableColumn id="4" xr3:uid="{3FC43D37-049E-4401-8B26-5683FEAF422F}" name="Valor" dataDxfId="21" dataCellStyle="Moeda"/>
    <tableColumn id="6" xr3:uid="{5F73848C-6529-4073-AD26-A2C6CD19008E}" name="Estoque Mínimo" dataDxfId="20" dataCellStyle="Moeda"/>
    <tableColumn id="5" xr3:uid="{C5673720-E819-4433-A283-5E0A08F60688}" name="Fornecedor" dataDxfId="19" dataCellStyle="Moeda"/>
    <tableColumn id="3" xr3:uid="{DF00A386-EDCF-4871-9467-E9FCD94A2E11}" name="Saldo Estoque" dataDxfId="18">
      <calculatedColumnFormula>SUMIFS(BDMovEstoque!C:C,BDMovEstoque!A:A,Tabela3[[#This Row],[Código]],BDMovEstoque!G:G,"Entrada")-SUMIFS(BDMovEstoque!C:C,BDMovEstoque!A:A,Tabela3[[#This Row],[Código]],BDMovEstoque!G:G,"Saída")</calculatedColumnFormula>
    </tableColumn>
    <tableColumn id="7" xr3:uid="{60CE0DCC-056A-4F92-BE40-B1F70FAD6C3D}" name="Estoque Crítico" dataDxfId="17">
      <calculatedColumnFormula>IF(Tabela3[[#This Row],[Saldo Estoque]]&lt;Tabela3[[#This Row],[Estoque Mínimo]],"Sim","")</calculatedColumnFormula>
    </tableColumn>
    <tableColumn id="8" xr3:uid="{C66948D0-A513-4914-83A3-E62ACF963AF0}" name="Saldo Estoque R$" dataDxfId="16">
      <calculatedColumnFormula>Tabela3[[#This Row],[Saldo Estoque]]*Tabela3[[#This Row],[Valor]]</calculatedColumnFormula>
    </tableColumn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FD4F22E-67FA-4941-A219-544F9F2BB7F2}" name="Tabela4" displayName="Tabela4" ref="A1:D6" totalsRowShown="0" headerRowDxfId="15" headerRowCellStyle="Moeda">
  <autoFilter ref="A1:D6" xr:uid="{4E5BCDBE-3929-4603-8F73-9FF5171A8A88}"/>
  <tableColumns count="4">
    <tableColumn id="1" xr3:uid="{933CA39A-67BE-46D9-887E-DFBF8A2F2A6A}" name="Código Cliente" dataDxfId="14"/>
    <tableColumn id="2" xr3:uid="{EA43087C-F134-4ADF-A878-8762CE141FBF}" name="Cliente" dataDxfId="13"/>
    <tableColumn id="3" xr3:uid="{94BB4864-A7A1-4AF1-8201-92908512B6E5}" name="Total" dataDxfId="12" dataCellStyle="Moeda"/>
    <tableColumn id="4" xr3:uid="{9B72A50A-761B-46D2-B2F3-EE2BC8F8D46E}" name="Data" dataDxfId="11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43A1D05-4C59-4077-8010-D82A0B6B3854}" name="Tabela1" displayName="Tabela1" ref="A1:G26" totalsRowShown="0" headerRowDxfId="10" dataDxfId="9" headerRowCellStyle="Moeda">
  <autoFilter ref="A1:G26" xr:uid="{B12151E8-0B92-4E81-B41D-981F5D319979}"/>
  <tableColumns count="7">
    <tableColumn id="1" xr3:uid="{B9C0D2D6-9E9D-40AB-AA16-172E804E1C02}" name="Código Produto" dataDxfId="8"/>
    <tableColumn id="2" xr3:uid="{EE0CDD70-EA09-4953-B6FB-E5497D795744}" name="Descrição" dataDxfId="7"/>
    <tableColumn id="3" xr3:uid="{7B8A0C5C-9ACB-411C-927C-83411BCF7A60}" name="Quantidade" dataDxfId="6"/>
    <tableColumn id="4" xr3:uid="{061739E3-AF83-47EA-A64F-3DF7C21DC3D6}" name="Valor" dataDxfId="5" dataCellStyle="Moeda"/>
    <tableColumn id="6" xr3:uid="{4B4CC739-AFF3-4B71-B377-F944843AB6FD}" name="Data Entrada" dataDxfId="4"/>
    <tableColumn id="7" xr3:uid="{3A76E6CD-E86C-457B-9249-E1C669661CB3}" name="Data Saída" dataDxfId="3"/>
    <tableColumn id="5" xr3:uid="{0462D8E1-AB53-4913-832B-5A1CECB871F5}" name="Tipo" dataDxfId="2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A9F1C-ABB7-4DCD-9E8C-BA11CF2829A7}">
  <sheetPr codeName="Planilha2">
    <tabColor theme="8" tint="-0.499984740745262"/>
  </sheetPr>
  <dimension ref="A1:V33"/>
  <sheetViews>
    <sheetView showGridLines="0" showRowColHeaders="0" workbookViewId="0">
      <selection activeCell="C26" sqref="C26"/>
    </sheetView>
  </sheetViews>
  <sheetFormatPr defaultColWidth="0" defaultRowHeight="14.5" customHeight="1" zeroHeight="1" x14ac:dyDescent="0.35"/>
  <cols>
    <col min="1" max="22" width="8.81640625" customWidth="1"/>
    <col min="23" max="16384" width="8.81640625" hidden="1"/>
  </cols>
  <sheetData>
    <row r="1" x14ac:dyDescent="0.35"/>
    <row r="2" x14ac:dyDescent="0.35"/>
    <row r="3" x14ac:dyDescent="0.35"/>
    <row r="4" ht="2.15" customHeight="1" x14ac:dyDescent="0.35"/>
    <row r="5" s="12" customFormat="1" ht="5.15" customHeight="1" x14ac:dyDescent="0.35"/>
    <row r="6" ht="3" customHeight="1" x14ac:dyDescent="0.35"/>
    <row r="7" s="12" customFormat="1" ht="5.15" customHeight="1" x14ac:dyDescent="0.35"/>
    <row r="8" ht="2.15" customHeight="1" x14ac:dyDescent="0.35"/>
    <row r="9" x14ac:dyDescent="0.35"/>
    <row r="10" x14ac:dyDescent="0.35"/>
    <row r="11" x14ac:dyDescent="0.35"/>
    <row r="12" x14ac:dyDescent="0.35"/>
    <row r="13" x14ac:dyDescent="0.35"/>
    <row r="14" x14ac:dyDescent="0.35"/>
    <row r="15" x14ac:dyDescent="0.35"/>
    <row r="16" x14ac:dyDescent="0.35"/>
    <row r="17" spans="5:15" x14ac:dyDescent="0.35"/>
    <row r="18" spans="5:15" x14ac:dyDescent="0.35"/>
    <row r="19" spans="5:15" x14ac:dyDescent="0.35"/>
    <row r="20" spans="5:15" x14ac:dyDescent="0.35"/>
    <row r="21" spans="5:15" x14ac:dyDescent="0.35"/>
    <row r="22" spans="5:15" x14ac:dyDescent="0.35"/>
    <row r="23" spans="5:15" x14ac:dyDescent="0.35"/>
    <row r="24" spans="5:15" x14ac:dyDescent="0.35"/>
    <row r="25" spans="5:15" x14ac:dyDescent="0.35"/>
    <row r="26" spans="5:15" ht="21" x14ac:dyDescent="0.35">
      <c r="E26" s="41" t="s">
        <v>28</v>
      </c>
      <c r="F26" s="42"/>
      <c r="G26" s="43" t="s">
        <v>29</v>
      </c>
      <c r="H26" s="44"/>
      <c r="I26" s="44"/>
      <c r="J26" s="44"/>
      <c r="K26" s="44"/>
      <c r="L26" s="44"/>
      <c r="M26" s="44"/>
      <c r="N26" s="44"/>
      <c r="O26" s="45"/>
    </row>
    <row r="27" spans="5:15" x14ac:dyDescent="0.35"/>
    <row r="28" spans="5:15" x14ac:dyDescent="0.35"/>
    <row r="29" spans="5:15" x14ac:dyDescent="0.35"/>
    <row r="30" spans="5:15" x14ac:dyDescent="0.35"/>
    <row r="31" spans="5:15" x14ac:dyDescent="0.35"/>
    <row r="32" spans="5:15" x14ac:dyDescent="0.35"/>
    <row r="33" x14ac:dyDescent="0.35"/>
  </sheetData>
  <sheetProtection selectLockedCells="1" selectUnlockedCells="1"/>
  <mergeCells count="2">
    <mergeCell ref="E26:F26"/>
    <mergeCell ref="G26:O2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40B06-DB33-40C3-BB00-CF854805741C}">
  <sheetPr codeName="Planilha1">
    <tabColor theme="8" tint="-0.249977111117893"/>
  </sheetPr>
  <dimension ref="B1:N19"/>
  <sheetViews>
    <sheetView showGridLines="0" showRowColHeaders="0" tabSelected="1" workbookViewId="0"/>
  </sheetViews>
  <sheetFormatPr defaultColWidth="8.81640625" defaultRowHeight="14.5" x14ac:dyDescent="0.35"/>
  <cols>
    <col min="1" max="1" width="2.81640625" style="15" customWidth="1"/>
    <col min="2" max="2" width="10.81640625" style="15" customWidth="1"/>
    <col min="3" max="16384" width="8.81640625" style="15"/>
  </cols>
  <sheetData>
    <row r="1" spans="2:14" customFormat="1" x14ac:dyDescent="0.35"/>
    <row r="2" spans="2:14" customFormat="1" x14ac:dyDescent="0.35"/>
    <row r="3" spans="2:14" customFormat="1" x14ac:dyDescent="0.35"/>
    <row r="4" spans="2:14" customFormat="1" ht="2.15" customHeight="1" x14ac:dyDescent="0.35"/>
    <row r="5" spans="2:14" s="12" customFormat="1" ht="5.15" customHeight="1" x14ac:dyDescent="0.35"/>
    <row r="6" spans="2:14" customFormat="1" ht="3" customHeight="1" x14ac:dyDescent="0.35"/>
    <row r="7" spans="2:14" s="12" customFormat="1" ht="5.15" customHeight="1" x14ac:dyDescent="0.35"/>
    <row r="8" spans="2:14" customFormat="1" ht="2.15" customHeight="1" x14ac:dyDescent="0.35"/>
    <row r="9" spans="2:14" customFormat="1" ht="25" customHeight="1" x14ac:dyDescent="0.35"/>
    <row r="10" spans="2:14" ht="14.5" customHeight="1" x14ac:dyDescent="0.7">
      <c r="B10" s="14"/>
    </row>
    <row r="11" spans="2:14" ht="40" customHeight="1" x14ac:dyDescent="0.35">
      <c r="B11" s="49" t="s">
        <v>30</v>
      </c>
      <c r="C11" s="49"/>
      <c r="D11" s="49"/>
      <c r="E11" s="49"/>
      <c r="F11" s="49"/>
      <c r="G11" s="49"/>
      <c r="H11" s="49"/>
      <c r="I11" s="49"/>
      <c r="J11" s="49"/>
      <c r="K11" s="49"/>
      <c r="L11" s="16"/>
      <c r="M11" s="16"/>
      <c r="N11" s="16"/>
    </row>
    <row r="12" spans="2:14" ht="14.5" customHeight="1" x14ac:dyDescent="0.7">
      <c r="B12" s="14"/>
    </row>
    <row r="13" spans="2:14" x14ac:dyDescent="0.35">
      <c r="B13" s="18" t="s">
        <v>3</v>
      </c>
      <c r="D13" s="27" t="s">
        <v>40</v>
      </c>
    </row>
    <row r="15" spans="2:14" x14ac:dyDescent="0.35">
      <c r="B15" s="18" t="s">
        <v>0</v>
      </c>
      <c r="C15" s="46"/>
      <c r="D15" s="47"/>
      <c r="E15" s="47"/>
      <c r="F15" s="47"/>
      <c r="G15" s="47"/>
      <c r="H15" s="48"/>
    </row>
    <row r="17" spans="2:8" x14ac:dyDescent="0.35">
      <c r="B17" s="18" t="s">
        <v>1</v>
      </c>
      <c r="C17" s="46"/>
      <c r="D17" s="47"/>
      <c r="E17" s="47"/>
      <c r="F17" s="47"/>
      <c r="G17" s="47"/>
      <c r="H17" s="48"/>
    </row>
    <row r="19" spans="2:8" x14ac:dyDescent="0.35">
      <c r="B19" s="18" t="s">
        <v>2</v>
      </c>
      <c r="C19" s="46"/>
      <c r="D19" s="48"/>
    </row>
  </sheetData>
  <sheetProtection selectLockedCells="1"/>
  <mergeCells count="4">
    <mergeCell ref="C15:H15"/>
    <mergeCell ref="C17:H17"/>
    <mergeCell ref="C19:D19"/>
    <mergeCell ref="B11:K11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F070D-004C-4E06-89D1-F9C94226CAA8}">
  <sheetPr codeName="Planilha3">
    <tabColor theme="8" tint="-0.249977111117893"/>
  </sheetPr>
  <dimension ref="B1:N28"/>
  <sheetViews>
    <sheetView showGridLines="0" showRowColHeaders="0" workbookViewId="0"/>
  </sheetViews>
  <sheetFormatPr defaultColWidth="8.81640625" defaultRowHeight="14.5" x14ac:dyDescent="0.35"/>
  <cols>
    <col min="1" max="1" width="2.81640625" style="15" customWidth="1"/>
    <col min="2" max="2" width="11.453125" style="15" bestFit="1" customWidth="1"/>
    <col min="3" max="16384" width="8.81640625" style="15"/>
  </cols>
  <sheetData>
    <row r="1" spans="2:14" customFormat="1" x14ac:dyDescent="0.35"/>
    <row r="2" spans="2:14" customFormat="1" x14ac:dyDescent="0.35"/>
    <row r="3" spans="2:14" customFormat="1" x14ac:dyDescent="0.35"/>
    <row r="4" spans="2:14" customFormat="1" ht="2.15" customHeight="1" x14ac:dyDescent="0.35"/>
    <row r="5" spans="2:14" s="12" customFormat="1" ht="5.15" customHeight="1" x14ac:dyDescent="0.35"/>
    <row r="6" spans="2:14" customFormat="1" ht="3" customHeight="1" x14ac:dyDescent="0.35"/>
    <row r="7" spans="2:14" s="12" customFormat="1" ht="5.15" customHeight="1" x14ac:dyDescent="0.35"/>
    <row r="8" spans="2:14" customFormat="1" ht="2.15" customHeight="1" x14ac:dyDescent="0.35"/>
    <row r="9" spans="2:14" customFormat="1" ht="25" customHeight="1" x14ac:dyDescent="0.35"/>
    <row r="10" spans="2:14" ht="14.5" customHeight="1" x14ac:dyDescent="0.7">
      <c r="B10" s="14"/>
    </row>
    <row r="11" spans="2:14" ht="40" customHeight="1" x14ac:dyDescent="0.35">
      <c r="B11" s="49" t="s">
        <v>36</v>
      </c>
      <c r="C11" s="49"/>
      <c r="D11" s="49"/>
      <c r="E11" s="49"/>
      <c r="F11" s="49"/>
      <c r="G11" s="49"/>
      <c r="H11" s="49"/>
      <c r="I11" s="49"/>
      <c r="J11" s="49"/>
      <c r="K11" s="49"/>
      <c r="L11" s="16"/>
      <c r="M11" s="16"/>
      <c r="N11" s="16"/>
    </row>
    <row r="13" spans="2:14" x14ac:dyDescent="0.35">
      <c r="B13" s="18" t="s">
        <v>3</v>
      </c>
      <c r="C13" s="40"/>
      <c r="D13" s="27" t="s">
        <v>40</v>
      </c>
      <c r="L13" s="55" t="s">
        <v>33</v>
      </c>
      <c r="M13" s="55"/>
      <c r="N13" s="55"/>
    </row>
    <row r="14" spans="2:14" ht="14.5" customHeight="1" x14ac:dyDescent="0.35">
      <c r="L14" s="52" t="str">
        <f>IFERROR(VLOOKUP(C13,BDProdutos!A:F,6,0),"")</f>
        <v/>
      </c>
      <c r="M14" s="52"/>
      <c r="N14" s="52"/>
    </row>
    <row r="15" spans="2:14" ht="14.5" customHeight="1" x14ac:dyDescent="0.35">
      <c r="B15" s="18" t="s">
        <v>8</v>
      </c>
      <c r="C15" s="46"/>
      <c r="D15" s="47"/>
      <c r="E15" s="47"/>
      <c r="F15" s="47"/>
      <c r="G15" s="47"/>
      <c r="H15" s="48"/>
      <c r="L15" s="52"/>
      <c r="M15" s="52"/>
      <c r="N15" s="52"/>
    </row>
    <row r="16" spans="2:14" ht="14.5" customHeight="1" x14ac:dyDescent="0.35">
      <c r="L16" s="53" t="str">
        <f>IFERROR(L14*C17,"")</f>
        <v/>
      </c>
      <c r="M16" s="53"/>
      <c r="N16" s="53"/>
    </row>
    <row r="17" spans="2:14" ht="14.5" customHeight="1" x14ac:dyDescent="0.35">
      <c r="B17" s="18" t="s">
        <v>11</v>
      </c>
      <c r="C17" s="56"/>
      <c r="D17" s="57"/>
      <c r="E17" s="58"/>
      <c r="L17" s="53"/>
      <c r="M17" s="53"/>
      <c r="N17" s="53"/>
    </row>
    <row r="19" spans="2:14" x14ac:dyDescent="0.35">
      <c r="B19" s="18" t="s">
        <v>31</v>
      </c>
      <c r="D19" s="50"/>
      <c r="E19" s="51"/>
      <c r="J19" s="54" t="str">
        <f>IF(L14&lt;D19,"O estoque atual é menor que o estoque mínimo","")</f>
        <v/>
      </c>
      <c r="K19" s="54"/>
      <c r="L19" s="54"/>
      <c r="M19" s="54"/>
      <c r="N19" s="54"/>
    </row>
    <row r="20" spans="2:14" x14ac:dyDescent="0.35">
      <c r="J20" s="54"/>
      <c r="K20" s="54"/>
      <c r="L20" s="54"/>
      <c r="M20" s="54"/>
      <c r="N20" s="54"/>
    </row>
    <row r="21" spans="2:14" x14ac:dyDescent="0.35">
      <c r="B21" s="18" t="s">
        <v>32</v>
      </c>
      <c r="C21" s="46"/>
      <c r="D21" s="47"/>
      <c r="E21" s="47"/>
      <c r="F21" s="47"/>
      <c r="G21" s="47"/>
      <c r="H21" s="48"/>
      <c r="J21" s="54"/>
      <c r="K21" s="54"/>
      <c r="L21" s="54"/>
      <c r="M21" s="54"/>
      <c r="N21" s="54"/>
    </row>
    <row r="25" spans="2:14" x14ac:dyDescent="0.35">
      <c r="B25" s="18" t="s">
        <v>24</v>
      </c>
      <c r="C25" s="50"/>
      <c r="D25" s="51"/>
    </row>
    <row r="28" spans="2:14" x14ac:dyDescent="0.35">
      <c r="E28" s="17"/>
      <c r="F28" s="17"/>
    </row>
  </sheetData>
  <sheetProtection selectLockedCells="1"/>
  <mergeCells count="10">
    <mergeCell ref="B11:K11"/>
    <mergeCell ref="C21:H21"/>
    <mergeCell ref="C25:D25"/>
    <mergeCell ref="D19:E19"/>
    <mergeCell ref="L14:N15"/>
    <mergeCell ref="L16:N17"/>
    <mergeCell ref="J19:N21"/>
    <mergeCell ref="C15:H15"/>
    <mergeCell ref="L13:N13"/>
    <mergeCell ref="C17:E17"/>
  </mergeCells>
  <conditionalFormatting sqref="J19">
    <cfRule type="notContainsBlanks" dxfId="33" priority="2">
      <formula>LEN(TRIM(J19))&gt;0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701EB-7C5D-4B14-9298-DC1168DF245D}">
  <sheetPr codeName="Planilha4">
    <tabColor theme="8" tint="-0.249977111117893"/>
  </sheetPr>
  <dimension ref="B1:T69"/>
  <sheetViews>
    <sheetView showGridLines="0" showRowColHeaders="0" workbookViewId="0">
      <pane ySplit="17" topLeftCell="A18" activePane="bottomLeft" state="frozen"/>
      <selection pane="bottomLeft"/>
    </sheetView>
  </sheetViews>
  <sheetFormatPr defaultColWidth="8.81640625" defaultRowHeight="14.5" x14ac:dyDescent="0.35"/>
  <cols>
    <col min="1" max="1" width="2.81640625" style="15" customWidth="1"/>
    <col min="2" max="2" width="10.81640625" style="15" customWidth="1"/>
    <col min="3" max="16384" width="8.81640625" style="15"/>
  </cols>
  <sheetData>
    <row r="1" spans="2:15" customFormat="1" x14ac:dyDescent="0.35"/>
    <row r="2" spans="2:15" customFormat="1" x14ac:dyDescent="0.35"/>
    <row r="3" spans="2:15" customFormat="1" x14ac:dyDescent="0.35"/>
    <row r="4" spans="2:15" customFormat="1" ht="2.15" customHeight="1" x14ac:dyDescent="0.35"/>
    <row r="5" spans="2:15" s="12" customFormat="1" ht="5.15" customHeight="1" x14ac:dyDescent="0.35"/>
    <row r="6" spans="2:15" customFormat="1" ht="3" customHeight="1" x14ac:dyDescent="0.35"/>
    <row r="7" spans="2:15" s="12" customFormat="1" ht="5.15" customHeight="1" x14ac:dyDescent="0.35"/>
    <row r="8" spans="2:15" customFormat="1" ht="2.15" customHeight="1" x14ac:dyDescent="0.35"/>
    <row r="9" spans="2:15" customFormat="1" ht="25" customHeight="1" x14ac:dyDescent="0.35"/>
    <row r="10" spans="2:15" ht="14.5" customHeight="1" x14ac:dyDescent="0.7">
      <c r="B10" s="14"/>
    </row>
    <row r="11" spans="2:15" ht="40" customHeight="1" x14ac:dyDescent="0.35">
      <c r="B11" s="49" t="s">
        <v>37</v>
      </c>
      <c r="C11" s="49"/>
      <c r="D11" s="49"/>
      <c r="E11" s="49"/>
      <c r="F11" s="49"/>
      <c r="G11" s="49"/>
      <c r="H11" s="49"/>
      <c r="I11" s="49"/>
      <c r="J11" s="49"/>
      <c r="K11" s="49"/>
      <c r="L11" s="16"/>
      <c r="M11" s="16"/>
      <c r="N11" s="16"/>
      <c r="O11" s="16"/>
    </row>
    <row r="13" spans="2:15" x14ac:dyDescent="0.35">
      <c r="B13" s="18" t="s">
        <v>10</v>
      </c>
      <c r="C13" s="10"/>
      <c r="D13" s="69" t="str">
        <f>IFERROR(VLOOKUP(C13,BDClientes!A:B,2,0),"")</f>
        <v/>
      </c>
      <c r="E13" s="70"/>
      <c r="F13" s="70"/>
      <c r="G13" s="70"/>
      <c r="H13" s="71"/>
    </row>
    <row r="15" spans="2:15" x14ac:dyDescent="0.35">
      <c r="B15" s="18" t="s">
        <v>25</v>
      </c>
      <c r="C15" s="50"/>
      <c r="D15" s="67"/>
      <c r="E15" s="67"/>
      <c r="F15" s="51"/>
    </row>
    <row r="17" spans="2:15" x14ac:dyDescent="0.35">
      <c r="B17" s="72" t="s">
        <v>21</v>
      </c>
      <c r="C17" s="73"/>
      <c r="D17" s="73"/>
      <c r="E17" s="74"/>
      <c r="F17" s="68" t="s">
        <v>12</v>
      </c>
      <c r="G17" s="68"/>
      <c r="H17" s="68"/>
      <c r="I17" s="68"/>
      <c r="J17" s="68"/>
      <c r="K17" s="20" t="s">
        <v>13</v>
      </c>
      <c r="L17" s="68" t="s">
        <v>38</v>
      </c>
      <c r="M17" s="68"/>
      <c r="N17" s="68" t="s">
        <v>39</v>
      </c>
      <c r="O17" s="68"/>
    </row>
    <row r="18" spans="2:15" x14ac:dyDescent="0.35">
      <c r="B18" s="59"/>
      <c r="C18" s="60"/>
      <c r="D18" s="60"/>
      <c r="E18" s="61"/>
      <c r="F18" s="62" t="str">
        <f>IFERROR(INDEX(BDProdutos!A:H,MATCH(Vendas!B18,BDProdutos!A:A,0),2),"")</f>
        <v/>
      </c>
      <c r="G18" s="63"/>
      <c r="H18" s="63"/>
      <c r="I18" s="63"/>
      <c r="J18" s="64"/>
      <c r="K18" s="11"/>
      <c r="L18" s="65" t="str">
        <f>IFERROR(INDEX(BDProdutos!A:H,MATCH(Vendas!B18,BDProdutos!A:A,0),3),"")</f>
        <v/>
      </c>
      <c r="M18" s="66"/>
      <c r="N18" s="65" t="str">
        <f>IFERROR(K18*L18,"")</f>
        <v/>
      </c>
      <c r="O18" s="66"/>
    </row>
    <row r="19" spans="2:15" x14ac:dyDescent="0.35">
      <c r="B19" s="59"/>
      <c r="C19" s="60"/>
      <c r="D19" s="60"/>
      <c r="E19" s="61"/>
      <c r="F19" s="62" t="str">
        <f>IFERROR(INDEX(BDProdutos!A:H,MATCH(Vendas!B19,BDProdutos!A:A,0),2),"")</f>
        <v/>
      </c>
      <c r="G19" s="63"/>
      <c r="H19" s="63"/>
      <c r="I19" s="63"/>
      <c r="J19" s="64"/>
      <c r="K19" s="11"/>
      <c r="L19" s="65" t="str">
        <f>IFERROR(INDEX(BDProdutos!A:H,MATCH(Vendas!B19,BDProdutos!A:A,0),3),"")</f>
        <v/>
      </c>
      <c r="M19" s="66"/>
      <c r="N19" s="65" t="str">
        <f t="shared" ref="N19:N67" si="0">IFERROR(K19*L19,"")</f>
        <v/>
      </c>
      <c r="O19" s="66"/>
    </row>
    <row r="20" spans="2:15" x14ac:dyDescent="0.35">
      <c r="B20" s="59"/>
      <c r="C20" s="60"/>
      <c r="D20" s="60"/>
      <c r="E20" s="61"/>
      <c r="F20" s="62" t="str">
        <f>IFERROR(INDEX(BDProdutos!A:H,MATCH(Vendas!B20,BDProdutos!A:A,0),2),"")</f>
        <v/>
      </c>
      <c r="G20" s="63"/>
      <c r="H20" s="63"/>
      <c r="I20" s="63"/>
      <c r="J20" s="64"/>
      <c r="K20" s="11"/>
      <c r="L20" s="65" t="str">
        <f>IFERROR(INDEX(BDProdutos!A:H,MATCH(Vendas!B20,BDProdutos!A:A,0),3),"")</f>
        <v/>
      </c>
      <c r="M20" s="66"/>
      <c r="N20" s="65" t="str">
        <f t="shared" si="0"/>
        <v/>
      </c>
      <c r="O20" s="66"/>
    </row>
    <row r="21" spans="2:15" x14ac:dyDescent="0.35">
      <c r="B21" s="59"/>
      <c r="C21" s="60"/>
      <c r="D21" s="60"/>
      <c r="E21" s="61"/>
      <c r="F21" s="62" t="str">
        <f>IFERROR(INDEX(BDProdutos!A:H,MATCH(Vendas!B21,BDProdutos!A:A,0),2),"")</f>
        <v/>
      </c>
      <c r="G21" s="63"/>
      <c r="H21" s="63"/>
      <c r="I21" s="63"/>
      <c r="J21" s="64"/>
      <c r="K21" s="11"/>
      <c r="L21" s="65" t="str">
        <f>IFERROR(INDEX(BDProdutos!A:H,MATCH(Vendas!B21,BDProdutos!A:A,0),3),"")</f>
        <v/>
      </c>
      <c r="M21" s="66"/>
      <c r="N21" s="65" t="str">
        <f t="shared" si="0"/>
        <v/>
      </c>
      <c r="O21" s="66"/>
    </row>
    <row r="22" spans="2:15" x14ac:dyDescent="0.35">
      <c r="B22" s="59"/>
      <c r="C22" s="60"/>
      <c r="D22" s="60"/>
      <c r="E22" s="61"/>
      <c r="F22" s="62" t="str">
        <f>IFERROR(INDEX(BDProdutos!A:H,MATCH(Vendas!B22,BDProdutos!A:A,0),2),"")</f>
        <v/>
      </c>
      <c r="G22" s="63"/>
      <c r="H22" s="63"/>
      <c r="I22" s="63"/>
      <c r="J22" s="64"/>
      <c r="K22" s="11"/>
      <c r="L22" s="65" t="str">
        <f>IFERROR(INDEX(BDProdutos!A:H,MATCH(Vendas!B22,BDProdutos!A:A,0),3),"")</f>
        <v/>
      </c>
      <c r="M22" s="66"/>
      <c r="N22" s="65" t="str">
        <f t="shared" si="0"/>
        <v/>
      </c>
      <c r="O22" s="66"/>
    </row>
    <row r="23" spans="2:15" x14ac:dyDescent="0.35">
      <c r="B23" s="59"/>
      <c r="C23" s="60"/>
      <c r="D23" s="60"/>
      <c r="E23" s="61"/>
      <c r="F23" s="62" t="str">
        <f>IFERROR(INDEX(BDProdutos!A:H,MATCH(Vendas!B23,BDProdutos!A:A,0),2),"")</f>
        <v/>
      </c>
      <c r="G23" s="63"/>
      <c r="H23" s="63"/>
      <c r="I23" s="63"/>
      <c r="J23" s="64"/>
      <c r="K23" s="11"/>
      <c r="L23" s="65" t="str">
        <f>IFERROR(INDEX(BDProdutos!A:H,MATCH(Vendas!B23,BDProdutos!A:A,0),3),"")</f>
        <v/>
      </c>
      <c r="M23" s="66"/>
      <c r="N23" s="65" t="str">
        <f t="shared" si="0"/>
        <v/>
      </c>
      <c r="O23" s="66"/>
    </row>
    <row r="24" spans="2:15" x14ac:dyDescent="0.35">
      <c r="B24" s="59"/>
      <c r="C24" s="60"/>
      <c r="D24" s="60"/>
      <c r="E24" s="61"/>
      <c r="F24" s="62" t="str">
        <f>IFERROR(INDEX(BDProdutos!A:H,MATCH(Vendas!B24,BDProdutos!A:A,0),2),"")</f>
        <v/>
      </c>
      <c r="G24" s="63"/>
      <c r="H24" s="63"/>
      <c r="I24" s="63"/>
      <c r="J24" s="64"/>
      <c r="K24" s="11"/>
      <c r="L24" s="65" t="str">
        <f>IFERROR(INDEX(BDProdutos!A:H,MATCH(Vendas!B24,BDProdutos!A:A,0),3),"")</f>
        <v/>
      </c>
      <c r="M24" s="66"/>
      <c r="N24" s="65" t="str">
        <f t="shared" si="0"/>
        <v/>
      </c>
      <c r="O24" s="66"/>
    </row>
    <row r="25" spans="2:15" x14ac:dyDescent="0.35">
      <c r="B25" s="59"/>
      <c r="C25" s="60"/>
      <c r="D25" s="60"/>
      <c r="E25" s="61"/>
      <c r="F25" s="62" t="str">
        <f>IFERROR(INDEX(BDProdutos!A:H,MATCH(Vendas!B25,BDProdutos!A:A,0),2),"")</f>
        <v/>
      </c>
      <c r="G25" s="63"/>
      <c r="H25" s="63"/>
      <c r="I25" s="63"/>
      <c r="J25" s="64"/>
      <c r="K25" s="11"/>
      <c r="L25" s="65" t="str">
        <f>IFERROR(INDEX(BDProdutos!A:H,MATCH(Vendas!B25,BDProdutos!A:A,0),3),"")</f>
        <v/>
      </c>
      <c r="M25" s="66"/>
      <c r="N25" s="65" t="str">
        <f t="shared" si="0"/>
        <v/>
      </c>
      <c r="O25" s="66"/>
    </row>
    <row r="26" spans="2:15" x14ac:dyDescent="0.35">
      <c r="B26" s="59"/>
      <c r="C26" s="60"/>
      <c r="D26" s="60"/>
      <c r="E26" s="61"/>
      <c r="F26" s="62" t="str">
        <f>IFERROR(INDEX(BDProdutos!A:H,MATCH(Vendas!B26,BDProdutos!A:A,0),2),"")</f>
        <v/>
      </c>
      <c r="G26" s="63"/>
      <c r="H26" s="63"/>
      <c r="I26" s="63"/>
      <c r="J26" s="64"/>
      <c r="K26" s="11"/>
      <c r="L26" s="65" t="str">
        <f>IFERROR(INDEX(BDProdutos!A:H,MATCH(Vendas!B26,BDProdutos!A:A,0),3),"")</f>
        <v/>
      </c>
      <c r="M26" s="66"/>
      <c r="N26" s="65" t="str">
        <f t="shared" si="0"/>
        <v/>
      </c>
      <c r="O26" s="66"/>
    </row>
    <row r="27" spans="2:15" x14ac:dyDescent="0.35">
      <c r="B27" s="59"/>
      <c r="C27" s="60"/>
      <c r="D27" s="60"/>
      <c r="E27" s="61"/>
      <c r="F27" s="62" t="str">
        <f>IFERROR(INDEX(BDProdutos!A:H,MATCH(Vendas!B27,BDProdutos!A:A,0),2),"")</f>
        <v/>
      </c>
      <c r="G27" s="63"/>
      <c r="H27" s="63"/>
      <c r="I27" s="63"/>
      <c r="J27" s="64"/>
      <c r="K27" s="11"/>
      <c r="L27" s="65" t="str">
        <f>IFERROR(INDEX(BDProdutos!A:H,MATCH(Vendas!B27,BDProdutos!A:A,0),3),"")</f>
        <v/>
      </c>
      <c r="M27" s="66"/>
      <c r="N27" s="65" t="str">
        <f t="shared" si="0"/>
        <v/>
      </c>
      <c r="O27" s="66"/>
    </row>
    <row r="28" spans="2:15" x14ac:dyDescent="0.35">
      <c r="B28" s="59"/>
      <c r="C28" s="60"/>
      <c r="D28" s="60"/>
      <c r="E28" s="61"/>
      <c r="F28" s="62" t="str">
        <f>IFERROR(INDEX(BDProdutos!A:H,MATCH(Vendas!B28,BDProdutos!A:A,0),2),"")</f>
        <v/>
      </c>
      <c r="G28" s="63"/>
      <c r="H28" s="63"/>
      <c r="I28" s="63"/>
      <c r="J28" s="64"/>
      <c r="K28" s="11"/>
      <c r="L28" s="65" t="str">
        <f>IFERROR(INDEX(BDProdutos!A:H,MATCH(Vendas!B28,BDProdutos!A:A,0),3),"")</f>
        <v/>
      </c>
      <c r="M28" s="66"/>
      <c r="N28" s="65" t="str">
        <f t="shared" si="0"/>
        <v/>
      </c>
      <c r="O28" s="66"/>
    </row>
    <row r="29" spans="2:15" x14ac:dyDescent="0.35">
      <c r="B29" s="59"/>
      <c r="C29" s="60"/>
      <c r="D29" s="60"/>
      <c r="E29" s="61"/>
      <c r="F29" s="62" t="str">
        <f>IFERROR(INDEX(BDProdutos!A:H,MATCH(Vendas!B29,BDProdutos!A:A,0),2),"")</f>
        <v/>
      </c>
      <c r="G29" s="63"/>
      <c r="H29" s="63"/>
      <c r="I29" s="63"/>
      <c r="J29" s="64"/>
      <c r="K29" s="11"/>
      <c r="L29" s="65" t="str">
        <f>IFERROR(INDEX(BDProdutos!A:H,MATCH(Vendas!B29,BDProdutos!A:A,0),3),"")</f>
        <v/>
      </c>
      <c r="M29" s="66"/>
      <c r="N29" s="65" t="str">
        <f t="shared" si="0"/>
        <v/>
      </c>
      <c r="O29" s="66"/>
    </row>
    <row r="30" spans="2:15" x14ac:dyDescent="0.35">
      <c r="B30" s="59"/>
      <c r="C30" s="60"/>
      <c r="D30" s="60"/>
      <c r="E30" s="61"/>
      <c r="F30" s="62" t="str">
        <f>IFERROR(INDEX(BDProdutos!A:H,MATCH(Vendas!B30,BDProdutos!A:A,0),2),"")</f>
        <v/>
      </c>
      <c r="G30" s="63"/>
      <c r="H30" s="63"/>
      <c r="I30" s="63"/>
      <c r="J30" s="64"/>
      <c r="K30" s="11"/>
      <c r="L30" s="65" t="str">
        <f>IFERROR(INDEX(BDProdutos!A:H,MATCH(Vendas!B30,BDProdutos!A:A,0),3),"")</f>
        <v/>
      </c>
      <c r="M30" s="66"/>
      <c r="N30" s="65" t="str">
        <f t="shared" si="0"/>
        <v/>
      </c>
      <c r="O30" s="66"/>
    </row>
    <row r="31" spans="2:15" x14ac:dyDescent="0.35">
      <c r="B31" s="59"/>
      <c r="C31" s="60"/>
      <c r="D31" s="60"/>
      <c r="E31" s="61"/>
      <c r="F31" s="62" t="str">
        <f>IFERROR(INDEX(BDProdutos!A:H,MATCH(Vendas!B31,BDProdutos!A:A,0),2),"")</f>
        <v/>
      </c>
      <c r="G31" s="63"/>
      <c r="H31" s="63"/>
      <c r="I31" s="63"/>
      <c r="J31" s="64"/>
      <c r="K31" s="11"/>
      <c r="L31" s="65" t="str">
        <f>IFERROR(INDEX(BDProdutos!A:H,MATCH(Vendas!B31,BDProdutos!A:A,0),3),"")</f>
        <v/>
      </c>
      <c r="M31" s="66"/>
      <c r="N31" s="65" t="str">
        <f t="shared" si="0"/>
        <v/>
      </c>
      <c r="O31" s="66"/>
    </row>
    <row r="32" spans="2:15" x14ac:dyDescent="0.35">
      <c r="B32" s="59"/>
      <c r="C32" s="60"/>
      <c r="D32" s="60"/>
      <c r="E32" s="61"/>
      <c r="F32" s="62" t="str">
        <f>IFERROR(INDEX(BDProdutos!A:H,MATCH(Vendas!B32,BDProdutos!A:A,0),2),"")</f>
        <v/>
      </c>
      <c r="G32" s="63"/>
      <c r="H32" s="63"/>
      <c r="I32" s="63"/>
      <c r="J32" s="64"/>
      <c r="K32" s="11"/>
      <c r="L32" s="65" t="str">
        <f>IFERROR(INDEX(BDProdutos!A:H,MATCH(Vendas!B32,BDProdutos!A:A,0),3),"")</f>
        <v/>
      </c>
      <c r="M32" s="66"/>
      <c r="N32" s="65" t="str">
        <f t="shared" si="0"/>
        <v/>
      </c>
      <c r="O32" s="66"/>
    </row>
    <row r="33" spans="2:15" x14ac:dyDescent="0.35">
      <c r="B33" s="59"/>
      <c r="C33" s="60"/>
      <c r="D33" s="60"/>
      <c r="E33" s="61"/>
      <c r="F33" s="62" t="str">
        <f>IFERROR(INDEX(BDProdutos!A:H,MATCH(Vendas!B33,BDProdutos!A:A,0),2),"")</f>
        <v/>
      </c>
      <c r="G33" s="63"/>
      <c r="H33" s="63"/>
      <c r="I33" s="63"/>
      <c r="J33" s="64"/>
      <c r="K33" s="11"/>
      <c r="L33" s="65" t="str">
        <f>IFERROR(INDEX(BDProdutos!A:H,MATCH(Vendas!B33,BDProdutos!A:A,0),3),"")</f>
        <v/>
      </c>
      <c r="M33" s="66"/>
      <c r="N33" s="65" t="str">
        <f t="shared" si="0"/>
        <v/>
      </c>
      <c r="O33" s="66"/>
    </row>
    <row r="34" spans="2:15" x14ac:dyDescent="0.35">
      <c r="B34" s="59"/>
      <c r="C34" s="60"/>
      <c r="D34" s="60"/>
      <c r="E34" s="61"/>
      <c r="F34" s="62" t="str">
        <f>IFERROR(INDEX(BDProdutos!A:H,MATCH(Vendas!B34,BDProdutos!A:A,0),2),"")</f>
        <v/>
      </c>
      <c r="G34" s="63"/>
      <c r="H34" s="63"/>
      <c r="I34" s="63"/>
      <c r="J34" s="64"/>
      <c r="K34" s="11"/>
      <c r="L34" s="65" t="str">
        <f>IFERROR(INDEX(BDProdutos!A:H,MATCH(Vendas!B34,BDProdutos!A:A,0),3),"")</f>
        <v/>
      </c>
      <c r="M34" s="66"/>
      <c r="N34" s="65" t="str">
        <f t="shared" si="0"/>
        <v/>
      </c>
      <c r="O34" s="66"/>
    </row>
    <row r="35" spans="2:15" x14ac:dyDescent="0.35">
      <c r="B35" s="59"/>
      <c r="C35" s="60"/>
      <c r="D35" s="60"/>
      <c r="E35" s="61"/>
      <c r="F35" s="62" t="str">
        <f>IFERROR(INDEX(BDProdutos!A:H,MATCH(Vendas!B35,BDProdutos!A:A,0),2),"")</f>
        <v/>
      </c>
      <c r="G35" s="63"/>
      <c r="H35" s="63"/>
      <c r="I35" s="63"/>
      <c r="J35" s="64"/>
      <c r="K35" s="11"/>
      <c r="L35" s="65" t="str">
        <f>IFERROR(INDEX(BDProdutos!A:H,MATCH(Vendas!B35,BDProdutos!A:A,0),3),"")</f>
        <v/>
      </c>
      <c r="M35" s="66"/>
      <c r="N35" s="65" t="str">
        <f t="shared" si="0"/>
        <v/>
      </c>
      <c r="O35" s="66"/>
    </row>
    <row r="36" spans="2:15" x14ac:dyDescent="0.35">
      <c r="B36" s="59"/>
      <c r="C36" s="60"/>
      <c r="D36" s="60"/>
      <c r="E36" s="61"/>
      <c r="F36" s="62" t="str">
        <f>IFERROR(INDEX(BDProdutos!A:H,MATCH(Vendas!B36,BDProdutos!A:A,0),2),"")</f>
        <v/>
      </c>
      <c r="G36" s="63"/>
      <c r="H36" s="63"/>
      <c r="I36" s="63"/>
      <c r="J36" s="64"/>
      <c r="K36" s="11"/>
      <c r="L36" s="65" t="str">
        <f>IFERROR(INDEX(BDProdutos!A:H,MATCH(Vendas!B36,BDProdutos!A:A,0),3),"")</f>
        <v/>
      </c>
      <c r="M36" s="66"/>
      <c r="N36" s="65" t="str">
        <f t="shared" si="0"/>
        <v/>
      </c>
      <c r="O36" s="66"/>
    </row>
    <row r="37" spans="2:15" x14ac:dyDescent="0.35">
      <c r="B37" s="59"/>
      <c r="C37" s="60"/>
      <c r="D37" s="60"/>
      <c r="E37" s="61"/>
      <c r="F37" s="62" t="str">
        <f>IFERROR(INDEX(BDProdutos!A:H,MATCH(Vendas!B37,BDProdutos!A:A,0),2),"")</f>
        <v/>
      </c>
      <c r="G37" s="63"/>
      <c r="H37" s="63"/>
      <c r="I37" s="63"/>
      <c r="J37" s="64"/>
      <c r="K37" s="11"/>
      <c r="L37" s="65" t="str">
        <f>IFERROR(INDEX(BDProdutos!A:H,MATCH(Vendas!B37,BDProdutos!A:A,0),3),"")</f>
        <v/>
      </c>
      <c r="M37" s="66"/>
      <c r="N37" s="65" t="str">
        <f t="shared" si="0"/>
        <v/>
      </c>
      <c r="O37" s="66"/>
    </row>
    <row r="38" spans="2:15" x14ac:dyDescent="0.35">
      <c r="B38" s="59"/>
      <c r="C38" s="60"/>
      <c r="D38" s="60"/>
      <c r="E38" s="61"/>
      <c r="F38" s="62" t="str">
        <f>IFERROR(INDEX(BDProdutos!A:H,MATCH(Vendas!B38,BDProdutos!A:A,0),2),"")</f>
        <v/>
      </c>
      <c r="G38" s="63"/>
      <c r="H38" s="63"/>
      <c r="I38" s="63"/>
      <c r="J38" s="64"/>
      <c r="K38" s="11"/>
      <c r="L38" s="65" t="str">
        <f>IFERROR(INDEX(BDProdutos!A:H,MATCH(Vendas!B38,BDProdutos!A:A,0),3),"")</f>
        <v/>
      </c>
      <c r="M38" s="66"/>
      <c r="N38" s="65" t="str">
        <f t="shared" si="0"/>
        <v/>
      </c>
      <c r="O38" s="66"/>
    </row>
    <row r="39" spans="2:15" x14ac:dyDescent="0.35">
      <c r="B39" s="59"/>
      <c r="C39" s="60"/>
      <c r="D39" s="60"/>
      <c r="E39" s="61"/>
      <c r="F39" s="62" t="str">
        <f>IFERROR(INDEX(BDProdutos!A:H,MATCH(Vendas!B39,BDProdutos!A:A,0),2),"")</f>
        <v/>
      </c>
      <c r="G39" s="63"/>
      <c r="H39" s="63"/>
      <c r="I39" s="63"/>
      <c r="J39" s="64"/>
      <c r="K39" s="11"/>
      <c r="L39" s="65" t="str">
        <f>IFERROR(INDEX(BDProdutos!A:H,MATCH(Vendas!B39,BDProdutos!A:A,0),3),"")</f>
        <v/>
      </c>
      <c r="M39" s="66"/>
      <c r="N39" s="65" t="str">
        <f t="shared" si="0"/>
        <v/>
      </c>
      <c r="O39" s="66"/>
    </row>
    <row r="40" spans="2:15" x14ac:dyDescent="0.35">
      <c r="B40" s="59"/>
      <c r="C40" s="60"/>
      <c r="D40" s="60"/>
      <c r="E40" s="61"/>
      <c r="F40" s="62" t="str">
        <f>IFERROR(INDEX(BDProdutos!A:H,MATCH(Vendas!B40,BDProdutos!A:A,0),2),"")</f>
        <v/>
      </c>
      <c r="G40" s="63"/>
      <c r="H40" s="63"/>
      <c r="I40" s="63"/>
      <c r="J40" s="64"/>
      <c r="K40" s="11"/>
      <c r="L40" s="65" t="str">
        <f>IFERROR(INDEX(BDProdutos!A:H,MATCH(Vendas!B40,BDProdutos!A:A,0),3),"")</f>
        <v/>
      </c>
      <c r="M40" s="66"/>
      <c r="N40" s="65" t="str">
        <f t="shared" si="0"/>
        <v/>
      </c>
      <c r="O40" s="66"/>
    </row>
    <row r="41" spans="2:15" x14ac:dyDescent="0.35">
      <c r="B41" s="59"/>
      <c r="C41" s="60"/>
      <c r="D41" s="60"/>
      <c r="E41" s="61"/>
      <c r="F41" s="62" t="str">
        <f>IFERROR(INDEX(BDProdutos!A:H,MATCH(Vendas!B41,BDProdutos!A:A,0),2),"")</f>
        <v/>
      </c>
      <c r="G41" s="63"/>
      <c r="H41" s="63"/>
      <c r="I41" s="63"/>
      <c r="J41" s="64"/>
      <c r="K41" s="11"/>
      <c r="L41" s="65" t="str">
        <f>IFERROR(INDEX(BDProdutos!A:H,MATCH(Vendas!B41,BDProdutos!A:A,0),3),"")</f>
        <v/>
      </c>
      <c r="M41" s="66"/>
      <c r="N41" s="65" t="str">
        <f t="shared" si="0"/>
        <v/>
      </c>
      <c r="O41" s="66"/>
    </row>
    <row r="42" spans="2:15" x14ac:dyDescent="0.35">
      <c r="B42" s="59"/>
      <c r="C42" s="60"/>
      <c r="D42" s="60"/>
      <c r="E42" s="61"/>
      <c r="F42" s="62" t="str">
        <f>IFERROR(INDEX(BDProdutos!A:H,MATCH(Vendas!B42,BDProdutos!A:A,0),2),"")</f>
        <v/>
      </c>
      <c r="G42" s="63"/>
      <c r="H42" s="63"/>
      <c r="I42" s="63"/>
      <c r="J42" s="64"/>
      <c r="K42" s="11"/>
      <c r="L42" s="65" t="str">
        <f>IFERROR(INDEX(BDProdutos!A:H,MATCH(Vendas!B42,BDProdutos!A:A,0),3),"")</f>
        <v/>
      </c>
      <c r="M42" s="66"/>
      <c r="N42" s="65" t="str">
        <f t="shared" si="0"/>
        <v/>
      </c>
      <c r="O42" s="66"/>
    </row>
    <row r="43" spans="2:15" x14ac:dyDescent="0.35">
      <c r="B43" s="59"/>
      <c r="C43" s="60"/>
      <c r="D43" s="60"/>
      <c r="E43" s="61"/>
      <c r="F43" s="62" t="str">
        <f>IFERROR(INDEX(BDProdutos!A:H,MATCH(Vendas!B43,BDProdutos!A:A,0),2),"")</f>
        <v/>
      </c>
      <c r="G43" s="63"/>
      <c r="H43" s="63"/>
      <c r="I43" s="63"/>
      <c r="J43" s="64"/>
      <c r="K43" s="11"/>
      <c r="L43" s="65" t="str">
        <f>IFERROR(INDEX(BDProdutos!A:H,MATCH(Vendas!B43,BDProdutos!A:A,0),3),"")</f>
        <v/>
      </c>
      <c r="M43" s="66"/>
      <c r="N43" s="65" t="str">
        <f t="shared" si="0"/>
        <v/>
      </c>
      <c r="O43" s="66"/>
    </row>
    <row r="44" spans="2:15" x14ac:dyDescent="0.35">
      <c r="B44" s="59"/>
      <c r="C44" s="60"/>
      <c r="D44" s="60"/>
      <c r="E44" s="61"/>
      <c r="F44" s="62" t="str">
        <f>IFERROR(INDEX(BDProdutos!A:H,MATCH(Vendas!B44,BDProdutos!A:A,0),2),"")</f>
        <v/>
      </c>
      <c r="G44" s="63"/>
      <c r="H44" s="63"/>
      <c r="I44" s="63"/>
      <c r="J44" s="64"/>
      <c r="K44" s="11"/>
      <c r="L44" s="65" t="str">
        <f>IFERROR(INDEX(BDProdutos!A:H,MATCH(Vendas!B44,BDProdutos!A:A,0),3),"")</f>
        <v/>
      </c>
      <c r="M44" s="66"/>
      <c r="N44" s="65" t="str">
        <f t="shared" si="0"/>
        <v/>
      </c>
      <c r="O44" s="66"/>
    </row>
    <row r="45" spans="2:15" x14ac:dyDescent="0.35">
      <c r="B45" s="59"/>
      <c r="C45" s="60"/>
      <c r="D45" s="60"/>
      <c r="E45" s="61"/>
      <c r="F45" s="62" t="str">
        <f>IFERROR(INDEX(BDProdutos!A:H,MATCH(Vendas!B45,BDProdutos!A:A,0),2),"")</f>
        <v/>
      </c>
      <c r="G45" s="63"/>
      <c r="H45" s="63"/>
      <c r="I45" s="63"/>
      <c r="J45" s="64"/>
      <c r="K45" s="11"/>
      <c r="L45" s="65" t="str">
        <f>IFERROR(INDEX(BDProdutos!A:H,MATCH(Vendas!B45,BDProdutos!A:A,0),3),"")</f>
        <v/>
      </c>
      <c r="M45" s="66"/>
      <c r="N45" s="65" t="str">
        <f t="shared" si="0"/>
        <v/>
      </c>
      <c r="O45" s="66"/>
    </row>
    <row r="46" spans="2:15" x14ac:dyDescent="0.35">
      <c r="B46" s="59"/>
      <c r="C46" s="60"/>
      <c r="D46" s="60"/>
      <c r="E46" s="61"/>
      <c r="F46" s="62" t="str">
        <f>IFERROR(INDEX(BDProdutos!A:H,MATCH(Vendas!B46,BDProdutos!A:A,0),2),"")</f>
        <v/>
      </c>
      <c r="G46" s="63"/>
      <c r="H46" s="63"/>
      <c r="I46" s="63"/>
      <c r="J46" s="64"/>
      <c r="K46" s="11"/>
      <c r="L46" s="65" t="str">
        <f>IFERROR(INDEX(BDProdutos!A:H,MATCH(Vendas!B46,BDProdutos!A:A,0),3),"")</f>
        <v/>
      </c>
      <c r="M46" s="66"/>
      <c r="N46" s="65" t="str">
        <f t="shared" si="0"/>
        <v/>
      </c>
      <c r="O46" s="66"/>
    </row>
    <row r="47" spans="2:15" x14ac:dyDescent="0.35">
      <c r="B47" s="59"/>
      <c r="C47" s="60"/>
      <c r="D47" s="60"/>
      <c r="E47" s="61"/>
      <c r="F47" s="62" t="str">
        <f>IFERROR(INDEX(BDProdutos!A:H,MATCH(Vendas!B47,BDProdutos!A:A,0),2),"")</f>
        <v/>
      </c>
      <c r="G47" s="63"/>
      <c r="H47" s="63"/>
      <c r="I47" s="63"/>
      <c r="J47" s="64"/>
      <c r="K47" s="11"/>
      <c r="L47" s="65" t="str">
        <f>IFERROR(INDEX(BDProdutos!A:H,MATCH(Vendas!B47,BDProdutos!A:A,0),3),"")</f>
        <v/>
      </c>
      <c r="M47" s="66"/>
      <c r="N47" s="65" t="str">
        <f t="shared" si="0"/>
        <v/>
      </c>
      <c r="O47" s="66"/>
    </row>
    <row r="48" spans="2:15" x14ac:dyDescent="0.35">
      <c r="B48" s="59"/>
      <c r="C48" s="60"/>
      <c r="D48" s="60"/>
      <c r="E48" s="61"/>
      <c r="F48" s="62" t="str">
        <f>IFERROR(INDEX(BDProdutos!A:H,MATCH(Vendas!B48,BDProdutos!A:A,0),2),"")</f>
        <v/>
      </c>
      <c r="G48" s="63"/>
      <c r="H48" s="63"/>
      <c r="I48" s="63"/>
      <c r="J48" s="64"/>
      <c r="K48" s="11"/>
      <c r="L48" s="65" t="str">
        <f>IFERROR(INDEX(BDProdutos!A:H,MATCH(Vendas!B48,BDProdutos!A:A,0),3),"")</f>
        <v/>
      </c>
      <c r="M48" s="66"/>
      <c r="N48" s="65" t="str">
        <f t="shared" si="0"/>
        <v/>
      </c>
      <c r="O48" s="66"/>
    </row>
    <row r="49" spans="2:15" x14ac:dyDescent="0.35">
      <c r="B49" s="59"/>
      <c r="C49" s="60"/>
      <c r="D49" s="60"/>
      <c r="E49" s="61"/>
      <c r="F49" s="62" t="str">
        <f>IFERROR(INDEX(BDProdutos!A:H,MATCH(Vendas!B49,BDProdutos!A:A,0),2),"")</f>
        <v/>
      </c>
      <c r="G49" s="63"/>
      <c r="H49" s="63"/>
      <c r="I49" s="63"/>
      <c r="J49" s="64"/>
      <c r="K49" s="11"/>
      <c r="L49" s="65" t="str">
        <f>IFERROR(INDEX(BDProdutos!A:H,MATCH(Vendas!B49,BDProdutos!A:A,0),3),"")</f>
        <v/>
      </c>
      <c r="M49" s="66"/>
      <c r="N49" s="65" t="str">
        <f t="shared" si="0"/>
        <v/>
      </c>
      <c r="O49" s="66"/>
    </row>
    <row r="50" spans="2:15" x14ac:dyDescent="0.35">
      <c r="B50" s="59"/>
      <c r="C50" s="60"/>
      <c r="D50" s="60"/>
      <c r="E50" s="61"/>
      <c r="F50" s="62" t="str">
        <f>IFERROR(INDEX(BDProdutos!A:H,MATCH(Vendas!B50,BDProdutos!A:A,0),2),"")</f>
        <v/>
      </c>
      <c r="G50" s="63"/>
      <c r="H50" s="63"/>
      <c r="I50" s="63"/>
      <c r="J50" s="64"/>
      <c r="K50" s="11"/>
      <c r="L50" s="65" t="str">
        <f>IFERROR(INDEX(BDProdutos!A:H,MATCH(Vendas!B50,BDProdutos!A:A,0),3),"")</f>
        <v/>
      </c>
      <c r="M50" s="66"/>
      <c r="N50" s="65" t="str">
        <f t="shared" si="0"/>
        <v/>
      </c>
      <c r="O50" s="66"/>
    </row>
    <row r="51" spans="2:15" x14ac:dyDescent="0.35">
      <c r="B51" s="59"/>
      <c r="C51" s="60"/>
      <c r="D51" s="60"/>
      <c r="E51" s="61"/>
      <c r="F51" s="62" t="str">
        <f>IFERROR(INDEX(BDProdutos!A:H,MATCH(Vendas!B51,BDProdutos!A:A,0),2),"")</f>
        <v/>
      </c>
      <c r="G51" s="63"/>
      <c r="H51" s="63"/>
      <c r="I51" s="63"/>
      <c r="J51" s="64"/>
      <c r="K51" s="11"/>
      <c r="L51" s="65" t="str">
        <f>IFERROR(INDEX(BDProdutos!A:H,MATCH(Vendas!B51,BDProdutos!A:A,0),3),"")</f>
        <v/>
      </c>
      <c r="M51" s="66"/>
      <c r="N51" s="65" t="str">
        <f t="shared" si="0"/>
        <v/>
      </c>
      <c r="O51" s="66"/>
    </row>
    <row r="52" spans="2:15" x14ac:dyDescent="0.35">
      <c r="B52" s="59"/>
      <c r="C52" s="60"/>
      <c r="D52" s="60"/>
      <c r="E52" s="61"/>
      <c r="F52" s="62" t="str">
        <f>IFERROR(INDEX(BDProdutos!A:H,MATCH(Vendas!B52,BDProdutos!A:A,0),2),"")</f>
        <v/>
      </c>
      <c r="G52" s="63"/>
      <c r="H52" s="63"/>
      <c r="I52" s="63"/>
      <c r="J52" s="64"/>
      <c r="K52" s="11"/>
      <c r="L52" s="65" t="str">
        <f>IFERROR(INDEX(BDProdutos!A:H,MATCH(Vendas!B52,BDProdutos!A:A,0),3),"")</f>
        <v/>
      </c>
      <c r="M52" s="66"/>
      <c r="N52" s="65" t="str">
        <f t="shared" si="0"/>
        <v/>
      </c>
      <c r="O52" s="66"/>
    </row>
    <row r="53" spans="2:15" x14ac:dyDescent="0.35">
      <c r="B53" s="59"/>
      <c r="C53" s="60"/>
      <c r="D53" s="60"/>
      <c r="E53" s="61"/>
      <c r="F53" s="62" t="str">
        <f>IFERROR(INDEX(BDProdutos!A:H,MATCH(Vendas!B53,BDProdutos!A:A,0),2),"")</f>
        <v/>
      </c>
      <c r="G53" s="63"/>
      <c r="H53" s="63"/>
      <c r="I53" s="63"/>
      <c r="J53" s="64"/>
      <c r="K53" s="11"/>
      <c r="L53" s="65" t="str">
        <f>IFERROR(INDEX(BDProdutos!A:H,MATCH(Vendas!B53,BDProdutos!A:A,0),3),"")</f>
        <v/>
      </c>
      <c r="M53" s="66"/>
      <c r="N53" s="65" t="str">
        <f t="shared" si="0"/>
        <v/>
      </c>
      <c r="O53" s="66"/>
    </row>
    <row r="54" spans="2:15" x14ac:dyDescent="0.35">
      <c r="B54" s="59"/>
      <c r="C54" s="60"/>
      <c r="D54" s="60"/>
      <c r="E54" s="61"/>
      <c r="F54" s="62" t="str">
        <f>IFERROR(INDEX(BDProdutos!A:H,MATCH(Vendas!B54,BDProdutos!A:A,0),2),"")</f>
        <v/>
      </c>
      <c r="G54" s="63"/>
      <c r="H54" s="63"/>
      <c r="I54" s="63"/>
      <c r="J54" s="64"/>
      <c r="K54" s="11"/>
      <c r="L54" s="65" t="str">
        <f>IFERROR(INDEX(BDProdutos!A:H,MATCH(Vendas!B54,BDProdutos!A:A,0),3),"")</f>
        <v/>
      </c>
      <c r="M54" s="66"/>
      <c r="N54" s="65" t="str">
        <f t="shared" si="0"/>
        <v/>
      </c>
      <c r="O54" s="66"/>
    </row>
    <row r="55" spans="2:15" x14ac:dyDescent="0.35">
      <c r="B55" s="59"/>
      <c r="C55" s="60"/>
      <c r="D55" s="60"/>
      <c r="E55" s="61"/>
      <c r="F55" s="62" t="str">
        <f>IFERROR(INDEX(BDProdutos!A:H,MATCH(Vendas!B55,BDProdutos!A:A,0),2),"")</f>
        <v/>
      </c>
      <c r="G55" s="63"/>
      <c r="H55" s="63"/>
      <c r="I55" s="63"/>
      <c r="J55" s="64"/>
      <c r="K55" s="11"/>
      <c r="L55" s="65" t="str">
        <f>IFERROR(INDEX(BDProdutos!A:H,MATCH(Vendas!B55,BDProdutos!A:A,0),3),"")</f>
        <v/>
      </c>
      <c r="M55" s="66"/>
      <c r="N55" s="65" t="str">
        <f t="shared" si="0"/>
        <v/>
      </c>
      <c r="O55" s="66"/>
    </row>
    <row r="56" spans="2:15" x14ac:dyDescent="0.35">
      <c r="B56" s="59"/>
      <c r="C56" s="60"/>
      <c r="D56" s="60"/>
      <c r="E56" s="61"/>
      <c r="F56" s="62" t="str">
        <f>IFERROR(INDEX(BDProdutos!A:H,MATCH(Vendas!B56,BDProdutos!A:A,0),2),"")</f>
        <v/>
      </c>
      <c r="G56" s="63"/>
      <c r="H56" s="63"/>
      <c r="I56" s="63"/>
      <c r="J56" s="64"/>
      <c r="K56" s="11"/>
      <c r="L56" s="65" t="str">
        <f>IFERROR(INDEX(BDProdutos!A:H,MATCH(Vendas!B56,BDProdutos!A:A,0),3),"")</f>
        <v/>
      </c>
      <c r="M56" s="66"/>
      <c r="N56" s="65" t="str">
        <f t="shared" si="0"/>
        <v/>
      </c>
      <c r="O56" s="66"/>
    </row>
    <row r="57" spans="2:15" x14ac:dyDescent="0.35">
      <c r="B57" s="59"/>
      <c r="C57" s="60"/>
      <c r="D57" s="60"/>
      <c r="E57" s="61"/>
      <c r="F57" s="62" t="str">
        <f>IFERROR(INDEX(BDProdutos!A:H,MATCH(Vendas!B57,BDProdutos!A:A,0),2),"")</f>
        <v/>
      </c>
      <c r="G57" s="63"/>
      <c r="H57" s="63"/>
      <c r="I57" s="63"/>
      <c r="J57" s="64"/>
      <c r="K57" s="11"/>
      <c r="L57" s="65" t="str">
        <f>IFERROR(INDEX(BDProdutos!A:H,MATCH(Vendas!B57,BDProdutos!A:A,0),3),"")</f>
        <v/>
      </c>
      <c r="M57" s="66"/>
      <c r="N57" s="65" t="str">
        <f t="shared" si="0"/>
        <v/>
      </c>
      <c r="O57" s="66"/>
    </row>
    <row r="58" spans="2:15" x14ac:dyDescent="0.35">
      <c r="B58" s="59"/>
      <c r="C58" s="60"/>
      <c r="D58" s="60"/>
      <c r="E58" s="61"/>
      <c r="F58" s="62" t="str">
        <f>IFERROR(INDEX(BDProdutos!A:H,MATCH(Vendas!B58,BDProdutos!A:A,0),2),"")</f>
        <v/>
      </c>
      <c r="G58" s="63"/>
      <c r="H58" s="63"/>
      <c r="I58" s="63"/>
      <c r="J58" s="64"/>
      <c r="K58" s="11"/>
      <c r="L58" s="65" t="str">
        <f>IFERROR(INDEX(BDProdutos!A:H,MATCH(Vendas!B58,BDProdutos!A:A,0),3),"")</f>
        <v/>
      </c>
      <c r="M58" s="66"/>
      <c r="N58" s="65" t="str">
        <f t="shared" si="0"/>
        <v/>
      </c>
      <c r="O58" s="66"/>
    </row>
    <row r="59" spans="2:15" x14ac:dyDescent="0.35">
      <c r="B59" s="59"/>
      <c r="C59" s="60"/>
      <c r="D59" s="60"/>
      <c r="E59" s="61"/>
      <c r="F59" s="62" t="str">
        <f>IFERROR(INDEX(BDProdutos!A:H,MATCH(Vendas!B59,BDProdutos!A:A,0),2),"")</f>
        <v/>
      </c>
      <c r="G59" s="63"/>
      <c r="H59" s="63"/>
      <c r="I59" s="63"/>
      <c r="J59" s="64"/>
      <c r="K59" s="11"/>
      <c r="L59" s="65" t="str">
        <f>IFERROR(INDEX(BDProdutos!A:H,MATCH(Vendas!B59,BDProdutos!A:A,0),3),"")</f>
        <v/>
      </c>
      <c r="M59" s="66"/>
      <c r="N59" s="65" t="str">
        <f t="shared" si="0"/>
        <v/>
      </c>
      <c r="O59" s="66"/>
    </row>
    <row r="60" spans="2:15" x14ac:dyDescent="0.35">
      <c r="B60" s="59"/>
      <c r="C60" s="60"/>
      <c r="D60" s="60"/>
      <c r="E60" s="61"/>
      <c r="F60" s="62" t="str">
        <f>IFERROR(INDEX(BDProdutos!A:H,MATCH(Vendas!B60,BDProdutos!A:A,0),2),"")</f>
        <v/>
      </c>
      <c r="G60" s="63"/>
      <c r="H60" s="63"/>
      <c r="I60" s="63"/>
      <c r="J60" s="64"/>
      <c r="K60" s="11"/>
      <c r="L60" s="65" t="str">
        <f>IFERROR(INDEX(BDProdutos!A:H,MATCH(Vendas!B60,BDProdutos!A:A,0),3),"")</f>
        <v/>
      </c>
      <c r="M60" s="66"/>
      <c r="N60" s="65" t="str">
        <f t="shared" si="0"/>
        <v/>
      </c>
      <c r="O60" s="66"/>
    </row>
    <row r="61" spans="2:15" x14ac:dyDescent="0.35">
      <c r="B61" s="59"/>
      <c r="C61" s="60"/>
      <c r="D61" s="60"/>
      <c r="E61" s="61"/>
      <c r="F61" s="62" t="str">
        <f>IFERROR(INDEX(BDProdutos!A:H,MATCH(Vendas!B61,BDProdutos!A:A,0),2),"")</f>
        <v/>
      </c>
      <c r="G61" s="63"/>
      <c r="H61" s="63"/>
      <c r="I61" s="63"/>
      <c r="J61" s="64"/>
      <c r="K61" s="11"/>
      <c r="L61" s="65" t="str">
        <f>IFERROR(INDEX(BDProdutos!A:H,MATCH(Vendas!B61,BDProdutos!A:A,0),3),"")</f>
        <v/>
      </c>
      <c r="M61" s="66"/>
      <c r="N61" s="65" t="str">
        <f t="shared" si="0"/>
        <v/>
      </c>
      <c r="O61" s="66"/>
    </row>
    <row r="62" spans="2:15" x14ac:dyDescent="0.35">
      <c r="B62" s="59"/>
      <c r="C62" s="60"/>
      <c r="D62" s="60"/>
      <c r="E62" s="61"/>
      <c r="F62" s="62" t="str">
        <f>IFERROR(INDEX(BDProdutos!A:H,MATCH(Vendas!B62,BDProdutos!A:A,0),2),"")</f>
        <v/>
      </c>
      <c r="G62" s="63"/>
      <c r="H62" s="63"/>
      <c r="I62" s="63"/>
      <c r="J62" s="64"/>
      <c r="K62" s="11"/>
      <c r="L62" s="65" t="str">
        <f>IFERROR(INDEX(BDProdutos!A:H,MATCH(Vendas!B62,BDProdutos!A:A,0),3),"")</f>
        <v/>
      </c>
      <c r="M62" s="66"/>
      <c r="N62" s="65" t="str">
        <f t="shared" si="0"/>
        <v/>
      </c>
      <c r="O62" s="66"/>
    </row>
    <row r="63" spans="2:15" x14ac:dyDescent="0.35">
      <c r="B63" s="59"/>
      <c r="C63" s="60"/>
      <c r="D63" s="60"/>
      <c r="E63" s="61"/>
      <c r="F63" s="62" t="str">
        <f>IFERROR(INDEX(BDProdutos!A:H,MATCH(Vendas!B63,BDProdutos!A:A,0),2),"")</f>
        <v/>
      </c>
      <c r="G63" s="63"/>
      <c r="H63" s="63"/>
      <c r="I63" s="63"/>
      <c r="J63" s="64"/>
      <c r="K63" s="11"/>
      <c r="L63" s="65" t="str">
        <f>IFERROR(INDEX(BDProdutos!A:H,MATCH(Vendas!B63,BDProdutos!A:A,0),3),"")</f>
        <v/>
      </c>
      <c r="M63" s="66"/>
      <c r="N63" s="65" t="str">
        <f t="shared" si="0"/>
        <v/>
      </c>
      <c r="O63" s="66"/>
    </row>
    <row r="64" spans="2:15" x14ac:dyDescent="0.35">
      <c r="B64" s="59"/>
      <c r="C64" s="60"/>
      <c r="D64" s="60"/>
      <c r="E64" s="61"/>
      <c r="F64" s="62" t="str">
        <f>IFERROR(INDEX(BDProdutos!A:H,MATCH(Vendas!B64,BDProdutos!A:A,0),2),"")</f>
        <v/>
      </c>
      <c r="G64" s="63"/>
      <c r="H64" s="63"/>
      <c r="I64" s="63"/>
      <c r="J64" s="64"/>
      <c r="K64" s="11"/>
      <c r="L64" s="65" t="str">
        <f>IFERROR(INDEX(BDProdutos!A:H,MATCH(Vendas!B64,BDProdutos!A:A,0),3),"")</f>
        <v/>
      </c>
      <c r="M64" s="66"/>
      <c r="N64" s="65" t="str">
        <f t="shared" si="0"/>
        <v/>
      </c>
      <c r="O64" s="66"/>
    </row>
    <row r="65" spans="2:20" x14ac:dyDescent="0.35">
      <c r="B65" s="59"/>
      <c r="C65" s="60"/>
      <c r="D65" s="60"/>
      <c r="E65" s="61"/>
      <c r="F65" s="62" t="str">
        <f>IFERROR(INDEX(BDProdutos!A:H,MATCH(Vendas!B65,BDProdutos!A:A,0),2),"")</f>
        <v/>
      </c>
      <c r="G65" s="63"/>
      <c r="H65" s="63"/>
      <c r="I65" s="63"/>
      <c r="J65" s="64"/>
      <c r="K65" s="11"/>
      <c r="L65" s="65" t="str">
        <f>IFERROR(INDEX(BDProdutos!A:H,MATCH(Vendas!B65,BDProdutos!A:A,0),3),"")</f>
        <v/>
      </c>
      <c r="M65" s="66"/>
      <c r="N65" s="65" t="str">
        <f t="shared" si="0"/>
        <v/>
      </c>
      <c r="O65" s="66"/>
    </row>
    <row r="66" spans="2:20" x14ac:dyDescent="0.35">
      <c r="B66" s="59"/>
      <c r="C66" s="60"/>
      <c r="D66" s="60"/>
      <c r="E66" s="61"/>
      <c r="F66" s="62" t="str">
        <f>IFERROR(INDEX(BDProdutos!A:H,MATCH(Vendas!B66,BDProdutos!A:A,0),2),"")</f>
        <v/>
      </c>
      <c r="G66" s="63"/>
      <c r="H66" s="63"/>
      <c r="I66" s="63"/>
      <c r="J66" s="64"/>
      <c r="K66" s="11"/>
      <c r="L66" s="65" t="str">
        <f>IFERROR(INDEX(BDProdutos!A:H,MATCH(Vendas!B66,BDProdutos!A:A,0),3),"")</f>
        <v/>
      </c>
      <c r="M66" s="66"/>
      <c r="N66" s="65" t="str">
        <f t="shared" si="0"/>
        <v/>
      </c>
      <c r="O66" s="66"/>
    </row>
    <row r="67" spans="2:20" x14ac:dyDescent="0.35">
      <c r="B67" s="59"/>
      <c r="C67" s="60"/>
      <c r="D67" s="60"/>
      <c r="E67" s="61"/>
      <c r="F67" s="62" t="str">
        <f>IFERROR(INDEX(BDProdutos!A:H,MATCH(Vendas!B67,BDProdutos!A:A,0),2),"")</f>
        <v/>
      </c>
      <c r="G67" s="63"/>
      <c r="H67" s="63"/>
      <c r="I67" s="63"/>
      <c r="J67" s="64"/>
      <c r="K67" s="11"/>
      <c r="L67" s="65" t="str">
        <f>IFERROR(INDEX(BDProdutos!A:H,MATCH(Vendas!B67,BDProdutos!A:A,0),3),"")</f>
        <v/>
      </c>
      <c r="M67" s="66"/>
      <c r="N67" s="65" t="str">
        <f t="shared" si="0"/>
        <v/>
      </c>
      <c r="O67" s="66"/>
    </row>
    <row r="68" spans="2:20" ht="30" customHeight="1" x14ac:dyDescent="0.35">
      <c r="B68" s="21"/>
      <c r="C68" s="21"/>
      <c r="D68" s="21"/>
      <c r="E68" s="21"/>
      <c r="F68" s="21"/>
      <c r="G68" s="21"/>
      <c r="H68" s="21"/>
      <c r="I68" s="21"/>
      <c r="J68" s="22" t="s">
        <v>15</v>
      </c>
      <c r="K68" s="23">
        <f>SUM(K18:K67)</f>
        <v>0</v>
      </c>
      <c r="L68" s="75"/>
      <c r="M68" s="76"/>
      <c r="N68" s="75">
        <f>SUM(N18:O67)</f>
        <v>0</v>
      </c>
      <c r="O68" s="76"/>
      <c r="T68" s="19"/>
    </row>
    <row r="69" spans="2:20" ht="14.5" customHeight="1" x14ac:dyDescent="0.35"/>
  </sheetData>
  <sheetProtection selectLockedCells="1"/>
  <mergeCells count="209">
    <mergeCell ref="N61:O61"/>
    <mergeCell ref="N62:O62"/>
    <mergeCell ref="N63:O63"/>
    <mergeCell ref="N64:O64"/>
    <mergeCell ref="N65:O65"/>
    <mergeCell ref="N66:O66"/>
    <mergeCell ref="N67:O67"/>
    <mergeCell ref="N68:O68"/>
    <mergeCell ref="N52:O52"/>
    <mergeCell ref="N53:O53"/>
    <mergeCell ref="N54:O54"/>
    <mergeCell ref="N55:O55"/>
    <mergeCell ref="N56:O56"/>
    <mergeCell ref="N57:O57"/>
    <mergeCell ref="N58:O58"/>
    <mergeCell ref="N59:O59"/>
    <mergeCell ref="N60:O60"/>
    <mergeCell ref="N43:O43"/>
    <mergeCell ref="N44:O44"/>
    <mergeCell ref="N45:O45"/>
    <mergeCell ref="N46:O46"/>
    <mergeCell ref="N47:O47"/>
    <mergeCell ref="N48:O48"/>
    <mergeCell ref="N49:O49"/>
    <mergeCell ref="N50:O50"/>
    <mergeCell ref="N51:O51"/>
    <mergeCell ref="N34:O34"/>
    <mergeCell ref="N35:O35"/>
    <mergeCell ref="N36:O36"/>
    <mergeCell ref="N37:O37"/>
    <mergeCell ref="N38:O38"/>
    <mergeCell ref="N39:O39"/>
    <mergeCell ref="N40:O40"/>
    <mergeCell ref="N41:O41"/>
    <mergeCell ref="N42:O42"/>
    <mergeCell ref="N25:O25"/>
    <mergeCell ref="N26:O26"/>
    <mergeCell ref="N27:O27"/>
    <mergeCell ref="N28:O28"/>
    <mergeCell ref="N29:O29"/>
    <mergeCell ref="N30:O30"/>
    <mergeCell ref="N31:O31"/>
    <mergeCell ref="N32:O32"/>
    <mergeCell ref="N33:O33"/>
    <mergeCell ref="B11:K11"/>
    <mergeCell ref="N17:O17"/>
    <mergeCell ref="N18:O18"/>
    <mergeCell ref="N19:O19"/>
    <mergeCell ref="N20:O20"/>
    <mergeCell ref="N21:O21"/>
    <mergeCell ref="N22:O22"/>
    <mergeCell ref="N23:O23"/>
    <mergeCell ref="N24:O24"/>
    <mergeCell ref="L68:M68"/>
    <mergeCell ref="L65:M65"/>
    <mergeCell ref="L66:M66"/>
    <mergeCell ref="L67:M67"/>
    <mergeCell ref="B19:E19"/>
    <mergeCell ref="B60:E60"/>
    <mergeCell ref="B61:E61"/>
    <mergeCell ref="B64:E64"/>
    <mergeCell ref="B65:E65"/>
    <mergeCell ref="B62:E62"/>
    <mergeCell ref="B63:E63"/>
    <mergeCell ref="F65:J65"/>
    <mergeCell ref="F66:J66"/>
    <mergeCell ref="F67:J67"/>
    <mergeCell ref="B66:E66"/>
    <mergeCell ref="B67:E67"/>
    <mergeCell ref="L64:M64"/>
    <mergeCell ref="F19:J19"/>
    <mergeCell ref="F60:J60"/>
    <mergeCell ref="F61:J61"/>
    <mergeCell ref="F62:J62"/>
    <mergeCell ref="F63:J63"/>
    <mergeCell ref="F64:J64"/>
    <mergeCell ref="L19:M19"/>
    <mergeCell ref="L60:M60"/>
    <mergeCell ref="L61:M61"/>
    <mergeCell ref="L62:M62"/>
    <mergeCell ref="C15:F15"/>
    <mergeCell ref="F17:J17"/>
    <mergeCell ref="L17:M17"/>
    <mergeCell ref="F18:J18"/>
    <mergeCell ref="D13:H13"/>
    <mergeCell ref="L18:M18"/>
    <mergeCell ref="B17:E17"/>
    <mergeCell ref="B18:E18"/>
    <mergeCell ref="L25:M25"/>
    <mergeCell ref="B30:E30"/>
    <mergeCell ref="F30:J30"/>
    <mergeCell ref="L30:M30"/>
    <mergeCell ref="B31:E31"/>
    <mergeCell ref="F31:J31"/>
    <mergeCell ref="L31:M31"/>
    <mergeCell ref="B28:E28"/>
    <mergeCell ref="F28:J28"/>
    <mergeCell ref="L28:M28"/>
    <mergeCell ref="B29:E29"/>
    <mergeCell ref="F29:J29"/>
    <mergeCell ref="L29:M29"/>
    <mergeCell ref="L63:M63"/>
    <mergeCell ref="B22:E22"/>
    <mergeCell ref="F22:J22"/>
    <mergeCell ref="L22:M22"/>
    <mergeCell ref="B23:E23"/>
    <mergeCell ref="F23:J23"/>
    <mergeCell ref="L23:M23"/>
    <mergeCell ref="B20:E20"/>
    <mergeCell ref="F20:J20"/>
    <mergeCell ref="L20:M20"/>
    <mergeCell ref="B21:E21"/>
    <mergeCell ref="F21:J21"/>
    <mergeCell ref="L21:M21"/>
    <mergeCell ref="B26:E26"/>
    <mergeCell ref="F26:J26"/>
    <mergeCell ref="L26:M26"/>
    <mergeCell ref="B27:E27"/>
    <mergeCell ref="F27:J27"/>
    <mergeCell ref="L27:M27"/>
    <mergeCell ref="B24:E24"/>
    <mergeCell ref="F24:J24"/>
    <mergeCell ref="L24:M24"/>
    <mergeCell ref="B25:E25"/>
    <mergeCell ref="F25:J25"/>
    <mergeCell ref="B34:E34"/>
    <mergeCell ref="F34:J34"/>
    <mergeCell ref="L34:M34"/>
    <mergeCell ref="B35:E35"/>
    <mergeCell ref="F35:J35"/>
    <mergeCell ref="L35:M35"/>
    <mergeCell ref="B32:E32"/>
    <mergeCell ref="F32:J32"/>
    <mergeCell ref="L32:M32"/>
    <mergeCell ref="B33:E33"/>
    <mergeCell ref="F33:J33"/>
    <mergeCell ref="L33:M33"/>
    <mergeCell ref="B38:E38"/>
    <mergeCell ref="F38:J38"/>
    <mergeCell ref="L38:M38"/>
    <mergeCell ref="B39:E39"/>
    <mergeCell ref="F39:J39"/>
    <mergeCell ref="L39:M39"/>
    <mergeCell ref="B36:E36"/>
    <mergeCell ref="F36:J36"/>
    <mergeCell ref="L36:M36"/>
    <mergeCell ref="B37:E37"/>
    <mergeCell ref="F37:J37"/>
    <mergeCell ref="L37:M37"/>
    <mergeCell ref="B42:E42"/>
    <mergeCell ref="F42:J42"/>
    <mergeCell ref="L42:M42"/>
    <mergeCell ref="B43:E43"/>
    <mergeCell ref="F43:J43"/>
    <mergeCell ref="L43:M43"/>
    <mergeCell ref="B40:E40"/>
    <mergeCell ref="F40:J40"/>
    <mergeCell ref="L40:M40"/>
    <mergeCell ref="B41:E41"/>
    <mergeCell ref="F41:J41"/>
    <mergeCell ref="L41:M41"/>
    <mergeCell ref="B46:E46"/>
    <mergeCell ref="F46:J46"/>
    <mergeCell ref="L46:M46"/>
    <mergeCell ref="B47:E47"/>
    <mergeCell ref="F47:J47"/>
    <mergeCell ref="L47:M47"/>
    <mergeCell ref="B44:E44"/>
    <mergeCell ref="F44:J44"/>
    <mergeCell ref="L44:M44"/>
    <mergeCell ref="B45:E45"/>
    <mergeCell ref="F45:J45"/>
    <mergeCell ref="L45:M45"/>
    <mergeCell ref="B50:E50"/>
    <mergeCell ref="F50:J50"/>
    <mergeCell ref="L50:M50"/>
    <mergeCell ref="B51:E51"/>
    <mergeCell ref="F51:J51"/>
    <mergeCell ref="L51:M51"/>
    <mergeCell ref="B48:E48"/>
    <mergeCell ref="F48:J48"/>
    <mergeCell ref="L48:M48"/>
    <mergeCell ref="B49:E49"/>
    <mergeCell ref="F49:J49"/>
    <mergeCell ref="L49:M49"/>
    <mergeCell ref="B54:E54"/>
    <mergeCell ref="F54:J54"/>
    <mergeCell ref="L54:M54"/>
    <mergeCell ref="B55:E55"/>
    <mergeCell ref="F55:J55"/>
    <mergeCell ref="L55:M55"/>
    <mergeCell ref="B52:E52"/>
    <mergeCell ref="F52:J52"/>
    <mergeCell ref="L52:M52"/>
    <mergeCell ref="B53:E53"/>
    <mergeCell ref="F53:J53"/>
    <mergeCell ref="L53:M53"/>
    <mergeCell ref="B58:E58"/>
    <mergeCell ref="F58:J58"/>
    <mergeCell ref="L58:M58"/>
    <mergeCell ref="B59:E59"/>
    <mergeCell ref="F59:J59"/>
    <mergeCell ref="L59:M59"/>
    <mergeCell ref="B56:E56"/>
    <mergeCell ref="F56:J56"/>
    <mergeCell ref="L56:M56"/>
    <mergeCell ref="B57:E57"/>
    <mergeCell ref="F57:J57"/>
    <mergeCell ref="L57:M57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C5126-9C22-43BE-8B0F-B1890D28ECD8}">
  <sheetPr codeName="Planilha10">
    <tabColor theme="8" tint="-0.249977111117893"/>
  </sheetPr>
  <dimension ref="A4:T10"/>
  <sheetViews>
    <sheetView showGridLines="0" showRowColHeaders="0" zoomScaleNormal="100" workbookViewId="0"/>
  </sheetViews>
  <sheetFormatPr defaultColWidth="0" defaultRowHeight="14.5" x14ac:dyDescent="0.35"/>
  <cols>
    <col min="1" max="1" width="2.81640625" customWidth="1"/>
    <col min="2" max="19" width="8.81640625" customWidth="1"/>
    <col min="20" max="20" width="2.7265625" customWidth="1"/>
    <col min="21" max="16384" width="8.81640625" hidden="1"/>
  </cols>
  <sheetData>
    <row r="4" spans="2:2" ht="2.15" customHeight="1" x14ac:dyDescent="0.35"/>
    <row r="5" spans="2:2" s="12" customFormat="1" ht="5.15" customHeight="1" x14ac:dyDescent="0.35"/>
    <row r="6" spans="2:2" ht="3" customHeight="1" x14ac:dyDescent="0.35"/>
    <row r="7" spans="2:2" s="12" customFormat="1" ht="5.15" customHeight="1" x14ac:dyDescent="0.35"/>
    <row r="8" spans="2:2" ht="2.15" customHeight="1" x14ac:dyDescent="0.35"/>
    <row r="9" spans="2:2" ht="25" customHeight="1" x14ac:dyDescent="0.35"/>
    <row r="10" spans="2:2" s="15" customFormat="1" ht="14.5" customHeight="1" x14ac:dyDescent="0.7">
      <c r="B10" s="14"/>
    </row>
  </sheetData>
  <sheetProtection algorithmName="SHA-512" hashValue="m0ousacG8cJszC72iVtj8BvR+tyvvYieYRXV3QrIBPAaMBISxoHLLVwPyrq7Z6zyJ7Rq+/7PQY5cg3MGEe/TCw==" saltValue="iPsmjvmFO0psq1cBPkcJoQ==" spinCount="100000" sheet="1" objects="1" scenarios="1"/>
  <pageMargins left="0.511811024" right="0.511811024" top="0.78740157499999996" bottom="0.78740157499999996" header="0.31496062000000002" footer="0.31496062000000002"/>
  <pageSetup paperSize="9" scale="57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1934A-92D5-475A-A35D-ECA78B2E503B}">
  <sheetPr codeName="Planilha9">
    <tabColor theme="5"/>
  </sheetPr>
  <dimension ref="A1:M159"/>
  <sheetViews>
    <sheetView showGridLines="0" showRowColHeaders="0" zoomScale="85" zoomScaleNormal="85" workbookViewId="0">
      <pane ySplit="10" topLeftCell="A11" activePane="bottomLeft" state="frozen"/>
      <selection pane="bottomLeft"/>
    </sheetView>
  </sheetViews>
  <sheetFormatPr defaultColWidth="0" defaultRowHeight="14.5" customHeight="1" zeroHeight="1" x14ac:dyDescent="0.35"/>
  <cols>
    <col min="1" max="1" width="1.81640625" customWidth="1"/>
    <col min="2" max="2" width="40.81640625" customWidth="1"/>
    <col min="3" max="3" width="17.81640625" customWidth="1"/>
    <col min="4" max="4" width="1.81640625" customWidth="1"/>
    <col min="5" max="5" width="40.81640625" customWidth="1"/>
    <col min="6" max="6" width="17.81640625" customWidth="1"/>
    <col min="7" max="7" width="1.81640625" customWidth="1"/>
    <col min="8" max="8" width="52.453125" customWidth="1"/>
    <col min="9" max="9" width="25.81640625" customWidth="1"/>
    <col min="10" max="10" width="1.81640625" customWidth="1"/>
    <col min="11" max="11" width="25" hidden="1" customWidth="1"/>
    <col min="12" max="12" width="6.81640625" hidden="1" customWidth="1"/>
    <col min="13" max="13" width="3.81640625" hidden="1" customWidth="1"/>
    <col min="14" max="16384" width="8.81640625" hidden="1"/>
  </cols>
  <sheetData>
    <row r="1" spans="2:2" x14ac:dyDescent="0.35"/>
    <row r="2" spans="2:2" x14ac:dyDescent="0.35"/>
    <row r="3" spans="2:2" x14ac:dyDescent="0.35"/>
    <row r="4" spans="2:2" ht="2.15" customHeight="1" x14ac:dyDescent="0.35"/>
    <row r="5" spans="2:2" s="12" customFormat="1" ht="5.15" customHeight="1" x14ac:dyDescent="0.35"/>
    <row r="6" spans="2:2" ht="3" customHeight="1" x14ac:dyDescent="0.35"/>
    <row r="7" spans="2:2" s="12" customFormat="1" ht="5.15" customHeight="1" x14ac:dyDescent="0.35"/>
    <row r="8" spans="2:2" ht="2.15" customHeight="1" x14ac:dyDescent="0.35"/>
    <row r="9" spans="2:2" ht="25" customHeight="1" x14ac:dyDescent="0.35"/>
    <row r="10" spans="2:2" ht="25" customHeight="1" x14ac:dyDescent="0.35"/>
    <row r="11" spans="2:2" ht="14.5" customHeight="1" x14ac:dyDescent="0.45">
      <c r="B11" s="13"/>
    </row>
    <row r="12" spans="2:2" ht="14.5" customHeight="1" x14ac:dyDescent="0.35"/>
    <row r="13" spans="2:2" ht="14.5" customHeight="1" x14ac:dyDescent="0.35"/>
    <row r="14" spans="2:2" ht="14.5" customHeight="1" x14ac:dyDescent="0.35"/>
    <row r="15" spans="2:2" ht="14.5" customHeight="1" x14ac:dyDescent="0.35"/>
    <row r="16" spans="2:2" ht="14.5" customHeight="1" x14ac:dyDescent="0.35"/>
    <row r="17" ht="14.5" customHeight="1" x14ac:dyDescent="0.35"/>
    <row r="18" ht="14.5" customHeight="1" x14ac:dyDescent="0.35"/>
    <row r="19" ht="14.5" customHeight="1" x14ac:dyDescent="0.35"/>
    <row r="20" ht="14.5" customHeight="1" x14ac:dyDescent="0.35"/>
    <row r="21" ht="14.5" customHeight="1" x14ac:dyDescent="0.35"/>
    <row r="22" ht="14.5" customHeight="1" x14ac:dyDescent="0.35"/>
    <row r="23" ht="14.5" customHeight="1" x14ac:dyDescent="0.35"/>
    <row r="24" ht="14.5" customHeight="1" x14ac:dyDescent="0.35"/>
    <row r="25" ht="14.5" customHeight="1" x14ac:dyDescent="0.35"/>
    <row r="26" ht="14.5" customHeight="1" x14ac:dyDescent="0.35"/>
    <row r="27" ht="14.5" customHeight="1" x14ac:dyDescent="0.35"/>
    <row r="28" ht="14.5" customHeight="1" x14ac:dyDescent="0.35"/>
    <row r="29" ht="14.5" customHeight="1" x14ac:dyDescent="0.35"/>
    <row r="30" ht="14.5" customHeight="1" x14ac:dyDescent="0.35"/>
    <row r="31" ht="14.5" customHeight="1" x14ac:dyDescent="0.35"/>
    <row r="32" ht="14.5" customHeight="1" x14ac:dyDescent="0.35"/>
    <row r="33" spans="2:2" ht="14.5" customHeight="1" x14ac:dyDescent="0.35"/>
    <row r="34" spans="2:2" ht="14.5" customHeight="1" x14ac:dyDescent="0.45">
      <c r="B34" s="13"/>
    </row>
    <row r="35" spans="2:2" ht="14.5" customHeight="1" x14ac:dyDescent="0.35"/>
    <row r="36" spans="2:2" ht="14.5" customHeight="1" x14ac:dyDescent="0.35"/>
    <row r="37" spans="2:2" ht="15" customHeight="1" x14ac:dyDescent="0.35"/>
    <row r="38" spans="2:2" ht="15" customHeight="1" x14ac:dyDescent="0.35"/>
    <row r="39" spans="2:2" ht="15" customHeight="1" x14ac:dyDescent="0.35"/>
    <row r="40" spans="2:2" ht="15" customHeight="1" x14ac:dyDescent="0.35"/>
    <row r="41" spans="2:2" ht="15" customHeight="1" x14ac:dyDescent="0.35"/>
    <row r="42" spans="2:2" ht="15" customHeight="1" x14ac:dyDescent="0.35"/>
    <row r="43" spans="2:2" ht="15" customHeight="1" x14ac:dyDescent="0.35"/>
    <row r="44" spans="2:2" ht="15" customHeight="1" x14ac:dyDescent="0.35"/>
    <row r="45" spans="2:2" ht="15" customHeight="1" x14ac:dyDescent="0.35"/>
    <row r="46" spans="2:2" ht="15" customHeight="1" x14ac:dyDescent="0.35"/>
    <row r="47" spans="2:2" ht="15" customHeight="1" x14ac:dyDescent="0.35"/>
    <row r="48" spans="2:2" ht="15" customHeight="1" x14ac:dyDescent="0.35"/>
    <row r="49" spans="2:2" ht="14.5" customHeight="1" x14ac:dyDescent="0.35"/>
    <row r="50" spans="2:2" ht="14.5" customHeight="1" x14ac:dyDescent="0.35"/>
    <row r="51" spans="2:2" ht="14.5" customHeight="1" x14ac:dyDescent="0.35"/>
    <row r="52" spans="2:2" ht="14.5" customHeight="1" x14ac:dyDescent="0.35"/>
    <row r="53" spans="2:2" ht="14.5" customHeight="1" x14ac:dyDescent="0.35"/>
    <row r="54" spans="2:2" ht="14.5" customHeight="1" x14ac:dyDescent="0.35"/>
    <row r="55" spans="2:2" ht="14.5" customHeight="1" x14ac:dyDescent="0.35"/>
    <row r="56" spans="2:2" ht="14.5" customHeight="1" x14ac:dyDescent="0.35"/>
    <row r="57" spans="2:2" ht="14.5" customHeight="1" x14ac:dyDescent="0.35"/>
    <row r="58" spans="2:2" ht="14.5" customHeight="1" x14ac:dyDescent="0.45">
      <c r="B58" s="13"/>
    </row>
    <row r="59" spans="2:2" ht="14.5" customHeight="1" x14ac:dyDescent="0.35"/>
    <row r="60" spans="2:2" ht="14.5" customHeight="1" x14ac:dyDescent="0.35"/>
    <row r="61" spans="2:2" ht="14.5" customHeight="1" x14ac:dyDescent="0.35"/>
    <row r="62" spans="2:2" ht="14.5" customHeight="1" x14ac:dyDescent="0.35"/>
    <row r="63" spans="2:2" ht="14.5" customHeight="1" x14ac:dyDescent="0.35"/>
    <row r="64" spans="2:2" ht="14.5" customHeight="1" x14ac:dyDescent="0.35"/>
    <row r="65" spans="2:2" ht="14.5" customHeight="1" x14ac:dyDescent="0.35"/>
    <row r="66" spans="2:2" ht="14.5" customHeight="1" x14ac:dyDescent="0.35"/>
    <row r="67" spans="2:2" ht="14.5" customHeight="1" x14ac:dyDescent="0.35"/>
    <row r="68" spans="2:2" ht="14.5" customHeight="1" x14ac:dyDescent="0.35"/>
    <row r="69" spans="2:2" ht="14.5" customHeight="1" x14ac:dyDescent="0.35"/>
    <row r="70" spans="2:2" ht="14.5" customHeight="1" x14ac:dyDescent="0.35"/>
    <row r="71" spans="2:2" ht="14.5" customHeight="1" x14ac:dyDescent="0.35"/>
    <row r="72" spans="2:2" ht="14.5" customHeight="1" x14ac:dyDescent="0.35"/>
    <row r="73" spans="2:2" ht="14.5" customHeight="1" x14ac:dyDescent="0.35"/>
    <row r="74" spans="2:2" ht="14.5" customHeight="1" x14ac:dyDescent="0.35"/>
    <row r="75" spans="2:2" ht="14.5" customHeight="1" x14ac:dyDescent="0.35"/>
    <row r="76" spans="2:2" ht="14.5" customHeight="1" x14ac:dyDescent="0.35"/>
    <row r="77" spans="2:2" ht="14.5" customHeight="1" x14ac:dyDescent="0.35"/>
    <row r="78" spans="2:2" ht="14.5" customHeight="1" x14ac:dyDescent="0.35"/>
    <row r="79" spans="2:2" ht="14.5" customHeight="1" x14ac:dyDescent="0.45">
      <c r="B79" s="13"/>
    </row>
    <row r="80" spans="2:2" ht="14.5" customHeight="1" x14ac:dyDescent="0.35"/>
    <row r="81" ht="14.5" customHeight="1" x14ac:dyDescent="0.35"/>
    <row r="82" ht="14.5" customHeight="1" x14ac:dyDescent="0.35"/>
    <row r="83" ht="14.5" customHeight="1" x14ac:dyDescent="0.35"/>
    <row r="84" ht="14.5" customHeight="1" x14ac:dyDescent="0.35"/>
    <row r="85" ht="14.5" customHeight="1" x14ac:dyDescent="0.35"/>
    <row r="86" ht="14.5" customHeight="1" x14ac:dyDescent="0.35"/>
    <row r="87" ht="14.5" customHeight="1" x14ac:dyDescent="0.35"/>
    <row r="88" ht="14.5" customHeight="1" x14ac:dyDescent="0.35"/>
    <row r="89" ht="14.5" customHeight="1" x14ac:dyDescent="0.35"/>
    <row r="90" ht="14.5" customHeight="1" x14ac:dyDescent="0.35"/>
    <row r="91" ht="14.5" customHeight="1" x14ac:dyDescent="0.35"/>
    <row r="92" ht="14.5" customHeight="1" x14ac:dyDescent="0.35"/>
    <row r="93" ht="14.5" customHeight="1" x14ac:dyDescent="0.35"/>
    <row r="94" ht="14.5" customHeight="1" x14ac:dyDescent="0.35"/>
    <row r="95" ht="14.5" customHeight="1" x14ac:dyDescent="0.35"/>
    <row r="96" ht="14.5" customHeight="1" x14ac:dyDescent="0.35"/>
    <row r="97" spans="2:2" ht="14.5" customHeight="1" x14ac:dyDescent="0.35"/>
    <row r="98" spans="2:2" ht="14.5" customHeight="1" x14ac:dyDescent="0.35"/>
    <row r="99" spans="2:2" ht="14.5" customHeight="1" x14ac:dyDescent="0.35"/>
    <row r="100" spans="2:2" ht="14.5" customHeight="1" x14ac:dyDescent="0.35"/>
    <row r="101" spans="2:2" ht="14.5" customHeight="1" x14ac:dyDescent="0.35"/>
    <row r="102" spans="2:2" ht="14.5" customHeight="1" x14ac:dyDescent="0.35"/>
    <row r="103" spans="2:2" ht="14.5" customHeight="1" x14ac:dyDescent="0.35"/>
    <row r="104" spans="2:2" ht="14.5" customHeight="1" x14ac:dyDescent="0.35"/>
    <row r="105" spans="2:2" ht="14.5" customHeight="1" x14ac:dyDescent="0.45">
      <c r="B105" s="13"/>
    </row>
    <row r="106" spans="2:2" ht="14.5" customHeight="1" x14ac:dyDescent="0.35"/>
    <row r="107" spans="2:2" ht="14.5" customHeight="1" x14ac:dyDescent="0.35"/>
    <row r="108" spans="2:2" ht="14.5" customHeight="1" x14ac:dyDescent="0.35"/>
    <row r="109" spans="2:2" ht="14.5" customHeight="1" x14ac:dyDescent="0.35"/>
    <row r="110" spans="2:2" ht="14.5" customHeight="1" x14ac:dyDescent="0.35"/>
    <row r="111" spans="2:2" ht="14.5" customHeight="1" x14ac:dyDescent="0.35"/>
    <row r="112" spans="2:2" ht="14.5" customHeight="1" x14ac:dyDescent="0.35"/>
    <row r="113" ht="14.5" customHeight="1" x14ac:dyDescent="0.35"/>
    <row r="114" ht="14.5" customHeight="1" x14ac:dyDescent="0.35"/>
    <row r="115" ht="14.5" customHeight="1" x14ac:dyDescent="0.35"/>
    <row r="116" ht="14.5" customHeight="1" x14ac:dyDescent="0.35"/>
    <row r="117" ht="14.5" customHeight="1" x14ac:dyDescent="0.35"/>
    <row r="118" ht="14.5" customHeight="1" x14ac:dyDescent="0.35"/>
    <row r="119" ht="14.5" customHeight="1" x14ac:dyDescent="0.35"/>
    <row r="120" ht="14.5" customHeight="1" x14ac:dyDescent="0.35"/>
    <row r="121" ht="14.5" customHeight="1" x14ac:dyDescent="0.35"/>
    <row r="122" ht="14.5" customHeight="1" x14ac:dyDescent="0.35"/>
    <row r="123" ht="14.5" customHeight="1" x14ac:dyDescent="0.35"/>
    <row r="124" ht="14.5" customHeight="1" x14ac:dyDescent="0.35"/>
    <row r="125" ht="14.5" customHeight="1" x14ac:dyDescent="0.35"/>
    <row r="126" ht="14.5" customHeight="1" x14ac:dyDescent="0.35"/>
    <row r="127" ht="14.5" customHeight="1" x14ac:dyDescent="0.35"/>
    <row r="128" ht="14.5" customHeight="1" x14ac:dyDescent="0.35"/>
    <row r="129" ht="14.5" customHeight="1" x14ac:dyDescent="0.35"/>
    <row r="130" ht="14.5" customHeight="1" x14ac:dyDescent="0.35"/>
    <row r="131" ht="14.5" customHeight="1" x14ac:dyDescent="0.35"/>
    <row r="132" ht="14.5" customHeight="1" x14ac:dyDescent="0.35"/>
    <row r="133" ht="14.5" customHeight="1" x14ac:dyDescent="0.35"/>
    <row r="134" ht="14.5" customHeight="1" x14ac:dyDescent="0.35"/>
    <row r="135" ht="14.5" customHeight="1" x14ac:dyDescent="0.35"/>
    <row r="136" ht="14.5" customHeight="1" x14ac:dyDescent="0.35"/>
    <row r="137" ht="14.5" customHeight="1" x14ac:dyDescent="0.35"/>
    <row r="138" ht="14.5" customHeight="1" x14ac:dyDescent="0.35"/>
    <row r="139" ht="14.5" customHeight="1" x14ac:dyDescent="0.35"/>
    <row r="140" ht="14.5" customHeight="1" x14ac:dyDescent="0.35"/>
    <row r="141" ht="14.5" customHeight="1" x14ac:dyDescent="0.35"/>
    <row r="142" ht="14.5" customHeight="1" x14ac:dyDescent="0.35"/>
    <row r="143" ht="14.5" customHeight="1" x14ac:dyDescent="0.35"/>
    <row r="144" ht="14.5" customHeight="1" x14ac:dyDescent="0.35"/>
    <row r="145" spans="2:2" ht="14.5" customHeight="1" x14ac:dyDescent="0.35"/>
    <row r="146" spans="2:2" ht="14.5" customHeight="1" x14ac:dyDescent="0.45">
      <c r="B146" s="13"/>
    </row>
    <row r="147" spans="2:2" ht="14.5" customHeight="1" x14ac:dyDescent="0.35"/>
    <row r="148" spans="2:2" ht="14.5" customHeight="1" x14ac:dyDescent="0.35"/>
    <row r="149" spans="2:2" ht="14.5" customHeight="1" x14ac:dyDescent="0.35"/>
    <row r="150" spans="2:2" ht="14.5" customHeight="1" x14ac:dyDescent="0.35"/>
    <row r="151" spans="2:2" ht="14.5" customHeight="1" x14ac:dyDescent="0.35"/>
    <row r="152" spans="2:2" ht="14.5" customHeight="1" x14ac:dyDescent="0.35"/>
    <row r="153" spans="2:2" ht="14.5" customHeight="1" x14ac:dyDescent="0.35"/>
    <row r="154" spans="2:2" ht="14.5" customHeight="1" x14ac:dyDescent="0.35"/>
    <row r="155" spans="2:2" ht="14.5" customHeight="1" x14ac:dyDescent="0.35"/>
    <row r="156" spans="2:2" ht="14.5" customHeight="1" x14ac:dyDescent="0.35"/>
    <row r="157" spans="2:2" ht="14.5" customHeight="1" x14ac:dyDescent="0.35"/>
    <row r="158" spans="2:2" ht="14.5" customHeight="1" x14ac:dyDescent="0.35"/>
    <row r="159" spans="2:2" ht="14.5" customHeight="1" x14ac:dyDescent="0.35"/>
  </sheetData>
  <sheetProtection selectLockedCells="1" selectUnlockedCells="1"/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6B5A4-540A-4844-A255-24F22A17E56B}">
  <sheetPr codeName="Planilha5">
    <tabColor theme="8" tint="0.39997558519241921"/>
  </sheetPr>
  <dimension ref="A1:D1000"/>
  <sheetViews>
    <sheetView showGridLines="0" workbookViewId="0">
      <pane ySplit="1" topLeftCell="A2" activePane="bottomLeft" state="frozen"/>
      <selection pane="bottomLeft" activeCell="D3" sqref="D3"/>
    </sheetView>
  </sheetViews>
  <sheetFormatPr defaultColWidth="8.81640625" defaultRowHeight="14.5" x14ac:dyDescent="0.35"/>
  <cols>
    <col min="1" max="1" width="11.453125" style="1" bestFit="1" customWidth="1"/>
    <col min="2" max="2" width="33.54296875" style="1" customWidth="1"/>
    <col min="3" max="3" width="31.453125" style="1" customWidth="1"/>
    <col min="4" max="4" width="27.54296875" style="1" customWidth="1"/>
    <col min="5" max="16384" width="8.81640625" style="7"/>
  </cols>
  <sheetData>
    <row r="1" spans="1:4" x14ac:dyDescent="0.35">
      <c r="A1" s="24" t="s">
        <v>4</v>
      </c>
      <c r="B1" s="24" t="s">
        <v>5</v>
      </c>
      <c r="C1" s="24" t="s">
        <v>6</v>
      </c>
      <c r="D1" s="24" t="s">
        <v>7</v>
      </c>
    </row>
    <row r="2" spans="1:4" x14ac:dyDescent="0.35">
      <c r="A2" s="1">
        <v>1</v>
      </c>
      <c r="B2" s="1" t="s">
        <v>56</v>
      </c>
      <c r="C2" s="1" t="s">
        <v>57</v>
      </c>
      <c r="D2" s="1">
        <v>123456789</v>
      </c>
    </row>
    <row r="3" spans="1:4" x14ac:dyDescent="0.35">
      <c r="A3" s="1">
        <v>2</v>
      </c>
    </row>
    <row r="4" spans="1:4" x14ac:dyDescent="0.35">
      <c r="A4" s="1">
        <v>3</v>
      </c>
    </row>
    <row r="5" spans="1:4" x14ac:dyDescent="0.35">
      <c r="A5" s="1">
        <v>4</v>
      </c>
    </row>
    <row r="6" spans="1:4" x14ac:dyDescent="0.35">
      <c r="A6" s="1">
        <v>5</v>
      </c>
    </row>
    <row r="7" spans="1:4" x14ac:dyDescent="0.35">
      <c r="A7" s="1">
        <v>6</v>
      </c>
    </row>
    <row r="8" spans="1:4" x14ac:dyDescent="0.35">
      <c r="A8" s="1">
        <v>7</v>
      </c>
    </row>
    <row r="9" spans="1:4" x14ac:dyDescent="0.35">
      <c r="A9" s="1">
        <v>8</v>
      </c>
    </row>
    <row r="10" spans="1:4" x14ac:dyDescent="0.35">
      <c r="A10" s="1">
        <v>9</v>
      </c>
    </row>
    <row r="11" spans="1:4" x14ac:dyDescent="0.35">
      <c r="A11" s="1">
        <v>10</v>
      </c>
    </row>
    <row r="12" spans="1:4" x14ac:dyDescent="0.35">
      <c r="A12" s="1">
        <v>11</v>
      </c>
    </row>
    <row r="13" spans="1:4" x14ac:dyDescent="0.35">
      <c r="A13" s="1">
        <v>12</v>
      </c>
    </row>
    <row r="14" spans="1:4" x14ac:dyDescent="0.35">
      <c r="A14" s="1">
        <v>13</v>
      </c>
    </row>
    <row r="15" spans="1:4" x14ac:dyDescent="0.35">
      <c r="A15" s="1">
        <v>14</v>
      </c>
    </row>
    <row r="16" spans="1:4" x14ac:dyDescent="0.35">
      <c r="A16" s="1">
        <v>15</v>
      </c>
    </row>
    <row r="17" spans="1:1" x14ac:dyDescent="0.35">
      <c r="A17" s="1">
        <v>16</v>
      </c>
    </row>
    <row r="18" spans="1:1" x14ac:dyDescent="0.35">
      <c r="A18" s="1">
        <v>17</v>
      </c>
    </row>
    <row r="19" spans="1:1" x14ac:dyDescent="0.35">
      <c r="A19" s="1">
        <v>18</v>
      </c>
    </row>
    <row r="20" spans="1:1" x14ac:dyDescent="0.35">
      <c r="A20" s="1">
        <v>19</v>
      </c>
    </row>
    <row r="21" spans="1:1" x14ac:dyDescent="0.35">
      <c r="A21" s="1">
        <v>20</v>
      </c>
    </row>
    <row r="22" spans="1:1" x14ac:dyDescent="0.35">
      <c r="A22" s="1">
        <v>21</v>
      </c>
    </row>
    <row r="23" spans="1:1" x14ac:dyDescent="0.35">
      <c r="A23" s="1">
        <v>22</v>
      </c>
    </row>
    <row r="24" spans="1:1" x14ac:dyDescent="0.35">
      <c r="A24" s="1">
        <v>23</v>
      </c>
    </row>
    <row r="25" spans="1:1" x14ac:dyDescent="0.35">
      <c r="A25" s="1">
        <v>24</v>
      </c>
    </row>
    <row r="26" spans="1:1" x14ac:dyDescent="0.35">
      <c r="A26" s="1">
        <v>25</v>
      </c>
    </row>
    <row r="27" spans="1:1" x14ac:dyDescent="0.35">
      <c r="A27" s="1">
        <v>26</v>
      </c>
    </row>
    <row r="28" spans="1:1" x14ac:dyDescent="0.35">
      <c r="A28" s="1">
        <v>27</v>
      </c>
    </row>
    <row r="29" spans="1:1" x14ac:dyDescent="0.35">
      <c r="A29" s="1">
        <v>28</v>
      </c>
    </row>
    <row r="30" spans="1:1" x14ac:dyDescent="0.35">
      <c r="A30" s="1">
        <v>29</v>
      </c>
    </row>
    <row r="31" spans="1:1" x14ac:dyDescent="0.35">
      <c r="A31" s="1">
        <v>30</v>
      </c>
    </row>
    <row r="32" spans="1:1" x14ac:dyDescent="0.35">
      <c r="A32" s="1">
        <v>31</v>
      </c>
    </row>
    <row r="33" spans="1:1" x14ac:dyDescent="0.35">
      <c r="A33" s="1">
        <v>32</v>
      </c>
    </row>
    <row r="34" spans="1:1" x14ac:dyDescent="0.35">
      <c r="A34" s="1">
        <v>33</v>
      </c>
    </row>
    <row r="35" spans="1:1" x14ac:dyDescent="0.35">
      <c r="A35" s="1">
        <v>34</v>
      </c>
    </row>
    <row r="36" spans="1:1" x14ac:dyDescent="0.35">
      <c r="A36" s="1">
        <v>35</v>
      </c>
    </row>
    <row r="37" spans="1:1" x14ac:dyDescent="0.35">
      <c r="A37" s="1">
        <v>36</v>
      </c>
    </row>
    <row r="38" spans="1:1" x14ac:dyDescent="0.35">
      <c r="A38" s="1">
        <v>37</v>
      </c>
    </row>
    <row r="39" spans="1:1" x14ac:dyDescent="0.35">
      <c r="A39" s="1">
        <v>38</v>
      </c>
    </row>
    <row r="40" spans="1:1" x14ac:dyDescent="0.35">
      <c r="A40" s="1">
        <v>39</v>
      </c>
    </row>
    <row r="41" spans="1:1" x14ac:dyDescent="0.35">
      <c r="A41" s="1">
        <v>40</v>
      </c>
    </row>
    <row r="42" spans="1:1" x14ac:dyDescent="0.35">
      <c r="A42" s="1">
        <v>41</v>
      </c>
    </row>
    <row r="43" spans="1:1" x14ac:dyDescent="0.35">
      <c r="A43" s="1">
        <v>42</v>
      </c>
    </row>
    <row r="44" spans="1:1" x14ac:dyDescent="0.35">
      <c r="A44" s="1">
        <v>43</v>
      </c>
    </row>
    <row r="45" spans="1:1" x14ac:dyDescent="0.35">
      <c r="A45" s="1">
        <v>44</v>
      </c>
    </row>
    <row r="46" spans="1:1" x14ac:dyDescent="0.35">
      <c r="A46" s="1">
        <v>45</v>
      </c>
    </row>
    <row r="47" spans="1:1" x14ac:dyDescent="0.35">
      <c r="A47" s="1">
        <v>46</v>
      </c>
    </row>
    <row r="48" spans="1:1" x14ac:dyDescent="0.35">
      <c r="A48" s="1">
        <v>47</v>
      </c>
    </row>
    <row r="49" spans="1:1" x14ac:dyDescent="0.35">
      <c r="A49" s="1">
        <v>48</v>
      </c>
    </row>
    <row r="50" spans="1:1" x14ac:dyDescent="0.35">
      <c r="A50" s="1">
        <v>49</v>
      </c>
    </row>
    <row r="51" spans="1:1" x14ac:dyDescent="0.35">
      <c r="A51" s="1">
        <v>50</v>
      </c>
    </row>
    <row r="52" spans="1:1" x14ac:dyDescent="0.35">
      <c r="A52" s="1">
        <v>51</v>
      </c>
    </row>
    <row r="53" spans="1:1" x14ac:dyDescent="0.35">
      <c r="A53" s="1">
        <v>52</v>
      </c>
    </row>
    <row r="54" spans="1:1" x14ac:dyDescent="0.35">
      <c r="A54" s="1">
        <v>53</v>
      </c>
    </row>
    <row r="55" spans="1:1" x14ac:dyDescent="0.35">
      <c r="A55" s="1">
        <v>54</v>
      </c>
    </row>
    <row r="56" spans="1:1" x14ac:dyDescent="0.35">
      <c r="A56" s="1">
        <v>55</v>
      </c>
    </row>
    <row r="57" spans="1:1" x14ac:dyDescent="0.35">
      <c r="A57" s="1">
        <v>56</v>
      </c>
    </row>
    <row r="58" spans="1:1" x14ac:dyDescent="0.35">
      <c r="A58" s="1">
        <v>57</v>
      </c>
    </row>
    <row r="59" spans="1:1" x14ac:dyDescent="0.35">
      <c r="A59" s="1">
        <v>58</v>
      </c>
    </row>
    <row r="60" spans="1:1" x14ac:dyDescent="0.35">
      <c r="A60" s="1">
        <v>59</v>
      </c>
    </row>
    <row r="61" spans="1:1" x14ac:dyDescent="0.35">
      <c r="A61" s="1">
        <v>60</v>
      </c>
    </row>
    <row r="62" spans="1:1" x14ac:dyDescent="0.35">
      <c r="A62" s="1">
        <v>61</v>
      </c>
    </row>
    <row r="63" spans="1:1" x14ac:dyDescent="0.35">
      <c r="A63" s="1">
        <v>62</v>
      </c>
    </row>
    <row r="64" spans="1:1" x14ac:dyDescent="0.35">
      <c r="A64" s="1">
        <v>63</v>
      </c>
    </row>
    <row r="65" spans="1:1" x14ac:dyDescent="0.35">
      <c r="A65" s="1">
        <v>64</v>
      </c>
    </row>
    <row r="66" spans="1:1" x14ac:dyDescent="0.35">
      <c r="A66" s="1">
        <v>65</v>
      </c>
    </row>
    <row r="67" spans="1:1" x14ac:dyDescent="0.35">
      <c r="A67" s="1">
        <v>66</v>
      </c>
    </row>
    <row r="68" spans="1:1" x14ac:dyDescent="0.35">
      <c r="A68" s="1">
        <v>67</v>
      </c>
    </row>
    <row r="69" spans="1:1" x14ac:dyDescent="0.35">
      <c r="A69" s="1">
        <v>68</v>
      </c>
    </row>
    <row r="70" spans="1:1" x14ac:dyDescent="0.35">
      <c r="A70" s="1">
        <v>69</v>
      </c>
    </row>
    <row r="71" spans="1:1" x14ac:dyDescent="0.35">
      <c r="A71" s="1">
        <v>70</v>
      </c>
    </row>
    <row r="72" spans="1:1" x14ac:dyDescent="0.35">
      <c r="A72" s="1">
        <v>71</v>
      </c>
    </row>
    <row r="73" spans="1:1" x14ac:dyDescent="0.35">
      <c r="A73" s="1">
        <v>72</v>
      </c>
    </row>
    <row r="74" spans="1:1" x14ac:dyDescent="0.35">
      <c r="A74" s="1">
        <v>73</v>
      </c>
    </row>
    <row r="75" spans="1:1" x14ac:dyDescent="0.35">
      <c r="A75" s="1">
        <v>74</v>
      </c>
    </row>
    <row r="76" spans="1:1" x14ac:dyDescent="0.35">
      <c r="A76" s="1">
        <v>75</v>
      </c>
    </row>
    <row r="77" spans="1:1" x14ac:dyDescent="0.35">
      <c r="A77" s="1">
        <v>76</v>
      </c>
    </row>
    <row r="78" spans="1:1" x14ac:dyDescent="0.35">
      <c r="A78" s="1">
        <v>77</v>
      </c>
    </row>
    <row r="79" spans="1:1" x14ac:dyDescent="0.35">
      <c r="A79" s="1">
        <v>78</v>
      </c>
    </row>
    <row r="80" spans="1:1" x14ac:dyDescent="0.35">
      <c r="A80" s="1">
        <v>79</v>
      </c>
    </row>
    <row r="81" spans="1:1" x14ac:dyDescent="0.35">
      <c r="A81" s="1">
        <v>80</v>
      </c>
    </row>
    <row r="82" spans="1:1" x14ac:dyDescent="0.35">
      <c r="A82" s="1">
        <v>81</v>
      </c>
    </row>
    <row r="83" spans="1:1" x14ac:dyDescent="0.35">
      <c r="A83" s="1">
        <v>82</v>
      </c>
    </row>
    <row r="84" spans="1:1" x14ac:dyDescent="0.35">
      <c r="A84" s="1">
        <v>83</v>
      </c>
    </row>
    <row r="85" spans="1:1" x14ac:dyDescent="0.35">
      <c r="A85" s="1">
        <v>84</v>
      </c>
    </row>
    <row r="86" spans="1:1" x14ac:dyDescent="0.35">
      <c r="A86" s="1">
        <v>85</v>
      </c>
    </row>
    <row r="87" spans="1:1" x14ac:dyDescent="0.35">
      <c r="A87" s="1">
        <v>86</v>
      </c>
    </row>
    <row r="88" spans="1:1" x14ac:dyDescent="0.35">
      <c r="A88" s="1">
        <v>87</v>
      </c>
    </row>
    <row r="89" spans="1:1" x14ac:dyDescent="0.35">
      <c r="A89" s="1">
        <v>88</v>
      </c>
    </row>
    <row r="90" spans="1:1" x14ac:dyDescent="0.35">
      <c r="A90" s="1">
        <v>89</v>
      </c>
    </row>
    <row r="91" spans="1:1" x14ac:dyDescent="0.35">
      <c r="A91" s="1">
        <v>90</v>
      </c>
    </row>
    <row r="92" spans="1:1" x14ac:dyDescent="0.35">
      <c r="A92" s="1">
        <v>91</v>
      </c>
    </row>
    <row r="93" spans="1:1" x14ac:dyDescent="0.35">
      <c r="A93" s="1">
        <v>92</v>
      </c>
    </row>
    <row r="94" spans="1:1" x14ac:dyDescent="0.35">
      <c r="A94" s="1">
        <v>93</v>
      </c>
    </row>
    <row r="95" spans="1:1" x14ac:dyDescent="0.35">
      <c r="A95" s="1">
        <v>94</v>
      </c>
    </row>
    <row r="96" spans="1:1" x14ac:dyDescent="0.35">
      <c r="A96" s="1">
        <v>95</v>
      </c>
    </row>
    <row r="97" spans="1:1" x14ac:dyDescent="0.35">
      <c r="A97" s="1">
        <v>96</v>
      </c>
    </row>
    <row r="98" spans="1:1" x14ac:dyDescent="0.35">
      <c r="A98" s="1">
        <v>97</v>
      </c>
    </row>
    <row r="99" spans="1:1" x14ac:dyDescent="0.35">
      <c r="A99" s="1">
        <v>98</v>
      </c>
    </row>
    <row r="100" spans="1:1" x14ac:dyDescent="0.35">
      <c r="A100" s="1">
        <v>99</v>
      </c>
    </row>
    <row r="101" spans="1:1" x14ac:dyDescent="0.35">
      <c r="A101" s="1">
        <v>100</v>
      </c>
    </row>
    <row r="102" spans="1:1" x14ac:dyDescent="0.35">
      <c r="A102" s="1">
        <v>101</v>
      </c>
    </row>
    <row r="103" spans="1:1" x14ac:dyDescent="0.35">
      <c r="A103" s="1">
        <v>102</v>
      </c>
    </row>
    <row r="104" spans="1:1" x14ac:dyDescent="0.35">
      <c r="A104" s="1">
        <v>103</v>
      </c>
    </row>
    <row r="105" spans="1:1" x14ac:dyDescent="0.35">
      <c r="A105" s="1">
        <v>104</v>
      </c>
    </row>
    <row r="106" spans="1:1" x14ac:dyDescent="0.35">
      <c r="A106" s="1">
        <v>105</v>
      </c>
    </row>
    <row r="107" spans="1:1" x14ac:dyDescent="0.35">
      <c r="A107" s="1">
        <v>106</v>
      </c>
    </row>
    <row r="108" spans="1:1" x14ac:dyDescent="0.35">
      <c r="A108" s="1">
        <v>107</v>
      </c>
    </row>
    <row r="109" spans="1:1" x14ac:dyDescent="0.35">
      <c r="A109" s="1">
        <v>108</v>
      </c>
    </row>
    <row r="110" spans="1:1" x14ac:dyDescent="0.35">
      <c r="A110" s="1">
        <v>109</v>
      </c>
    </row>
    <row r="111" spans="1:1" x14ac:dyDescent="0.35">
      <c r="A111" s="1">
        <v>110</v>
      </c>
    </row>
    <row r="112" spans="1:1" x14ac:dyDescent="0.35">
      <c r="A112" s="1">
        <v>111</v>
      </c>
    </row>
    <row r="113" spans="1:1" x14ac:dyDescent="0.35">
      <c r="A113" s="1">
        <v>112</v>
      </c>
    </row>
    <row r="114" spans="1:1" x14ac:dyDescent="0.35">
      <c r="A114" s="1">
        <v>113</v>
      </c>
    </row>
    <row r="115" spans="1:1" x14ac:dyDescent="0.35">
      <c r="A115" s="1">
        <v>114</v>
      </c>
    </row>
    <row r="116" spans="1:1" x14ac:dyDescent="0.35">
      <c r="A116" s="1">
        <v>115</v>
      </c>
    </row>
    <row r="117" spans="1:1" x14ac:dyDescent="0.35">
      <c r="A117" s="1">
        <v>116</v>
      </c>
    </row>
    <row r="118" spans="1:1" x14ac:dyDescent="0.35">
      <c r="A118" s="1">
        <v>117</v>
      </c>
    </row>
    <row r="119" spans="1:1" x14ac:dyDescent="0.35">
      <c r="A119" s="1">
        <v>118</v>
      </c>
    </row>
    <row r="120" spans="1:1" x14ac:dyDescent="0.35">
      <c r="A120" s="1">
        <v>119</v>
      </c>
    </row>
    <row r="121" spans="1:1" x14ac:dyDescent="0.35">
      <c r="A121" s="1">
        <v>120</v>
      </c>
    </row>
    <row r="122" spans="1:1" x14ac:dyDescent="0.35">
      <c r="A122" s="1">
        <v>121</v>
      </c>
    </row>
    <row r="123" spans="1:1" x14ac:dyDescent="0.35">
      <c r="A123" s="1">
        <v>122</v>
      </c>
    </row>
    <row r="124" spans="1:1" x14ac:dyDescent="0.35">
      <c r="A124" s="1">
        <v>123</v>
      </c>
    </row>
    <row r="125" spans="1:1" x14ac:dyDescent="0.35">
      <c r="A125" s="1">
        <v>124</v>
      </c>
    </row>
    <row r="126" spans="1:1" x14ac:dyDescent="0.35">
      <c r="A126" s="1">
        <v>125</v>
      </c>
    </row>
    <row r="127" spans="1:1" x14ac:dyDescent="0.35">
      <c r="A127" s="1">
        <v>126</v>
      </c>
    </row>
    <row r="128" spans="1:1" x14ac:dyDescent="0.35">
      <c r="A128" s="1">
        <v>127</v>
      </c>
    </row>
    <row r="129" spans="1:1" x14ac:dyDescent="0.35">
      <c r="A129" s="1">
        <v>128</v>
      </c>
    </row>
    <row r="130" spans="1:1" x14ac:dyDescent="0.35">
      <c r="A130" s="1">
        <v>129</v>
      </c>
    </row>
    <row r="131" spans="1:1" x14ac:dyDescent="0.35">
      <c r="A131" s="1">
        <v>130</v>
      </c>
    </row>
    <row r="132" spans="1:1" x14ac:dyDescent="0.35">
      <c r="A132" s="1">
        <v>131</v>
      </c>
    </row>
    <row r="133" spans="1:1" x14ac:dyDescent="0.35">
      <c r="A133" s="1">
        <v>132</v>
      </c>
    </row>
    <row r="134" spans="1:1" x14ac:dyDescent="0.35">
      <c r="A134" s="1">
        <v>133</v>
      </c>
    </row>
    <row r="135" spans="1:1" x14ac:dyDescent="0.35">
      <c r="A135" s="1">
        <v>134</v>
      </c>
    </row>
    <row r="136" spans="1:1" x14ac:dyDescent="0.35">
      <c r="A136" s="1">
        <v>135</v>
      </c>
    </row>
    <row r="137" spans="1:1" x14ac:dyDescent="0.35">
      <c r="A137" s="1">
        <v>136</v>
      </c>
    </row>
    <row r="138" spans="1:1" x14ac:dyDescent="0.35">
      <c r="A138" s="1">
        <v>137</v>
      </c>
    </row>
    <row r="139" spans="1:1" x14ac:dyDescent="0.35">
      <c r="A139" s="1">
        <v>138</v>
      </c>
    </row>
    <row r="140" spans="1:1" x14ac:dyDescent="0.35">
      <c r="A140" s="1">
        <v>139</v>
      </c>
    </row>
    <row r="141" spans="1:1" x14ac:dyDescent="0.35">
      <c r="A141" s="1">
        <v>140</v>
      </c>
    </row>
    <row r="142" spans="1:1" x14ac:dyDescent="0.35">
      <c r="A142" s="1">
        <v>141</v>
      </c>
    </row>
    <row r="143" spans="1:1" x14ac:dyDescent="0.35">
      <c r="A143" s="1">
        <v>142</v>
      </c>
    </row>
    <row r="144" spans="1:1" x14ac:dyDescent="0.35">
      <c r="A144" s="1">
        <v>143</v>
      </c>
    </row>
    <row r="145" spans="1:1" x14ac:dyDescent="0.35">
      <c r="A145" s="1">
        <v>144</v>
      </c>
    </row>
    <row r="146" spans="1:1" x14ac:dyDescent="0.35">
      <c r="A146" s="1">
        <v>145</v>
      </c>
    </row>
    <row r="147" spans="1:1" x14ac:dyDescent="0.35">
      <c r="A147" s="1">
        <v>146</v>
      </c>
    </row>
    <row r="148" spans="1:1" x14ac:dyDescent="0.35">
      <c r="A148" s="1">
        <v>147</v>
      </c>
    </row>
    <row r="149" spans="1:1" x14ac:dyDescent="0.35">
      <c r="A149" s="1">
        <v>148</v>
      </c>
    </row>
    <row r="150" spans="1:1" x14ac:dyDescent="0.35">
      <c r="A150" s="1">
        <v>149</v>
      </c>
    </row>
    <row r="151" spans="1:1" x14ac:dyDescent="0.35">
      <c r="A151" s="1">
        <v>150</v>
      </c>
    </row>
    <row r="152" spans="1:1" x14ac:dyDescent="0.35">
      <c r="A152" s="1">
        <v>151</v>
      </c>
    </row>
    <row r="153" spans="1:1" x14ac:dyDescent="0.35">
      <c r="A153" s="1">
        <v>152</v>
      </c>
    </row>
    <row r="154" spans="1:1" x14ac:dyDescent="0.35">
      <c r="A154" s="1">
        <v>153</v>
      </c>
    </row>
    <row r="155" spans="1:1" x14ac:dyDescent="0.35">
      <c r="A155" s="1">
        <v>154</v>
      </c>
    </row>
    <row r="156" spans="1:1" x14ac:dyDescent="0.35">
      <c r="A156" s="1">
        <v>155</v>
      </c>
    </row>
    <row r="157" spans="1:1" x14ac:dyDescent="0.35">
      <c r="A157" s="1">
        <v>156</v>
      </c>
    </row>
    <row r="158" spans="1:1" x14ac:dyDescent="0.35">
      <c r="A158" s="1">
        <v>157</v>
      </c>
    </row>
    <row r="159" spans="1:1" x14ac:dyDescent="0.35">
      <c r="A159" s="1">
        <v>158</v>
      </c>
    </row>
    <row r="160" spans="1:1" x14ac:dyDescent="0.35">
      <c r="A160" s="1">
        <v>159</v>
      </c>
    </row>
    <row r="161" spans="1:1" x14ac:dyDescent="0.35">
      <c r="A161" s="1">
        <v>160</v>
      </c>
    </row>
    <row r="162" spans="1:1" x14ac:dyDescent="0.35">
      <c r="A162" s="1">
        <v>161</v>
      </c>
    </row>
    <row r="163" spans="1:1" x14ac:dyDescent="0.35">
      <c r="A163" s="1">
        <v>162</v>
      </c>
    </row>
    <row r="164" spans="1:1" x14ac:dyDescent="0.35">
      <c r="A164" s="1">
        <v>163</v>
      </c>
    </row>
    <row r="165" spans="1:1" x14ac:dyDescent="0.35">
      <c r="A165" s="1">
        <v>164</v>
      </c>
    </row>
    <row r="166" spans="1:1" x14ac:dyDescent="0.35">
      <c r="A166" s="1">
        <v>165</v>
      </c>
    </row>
    <row r="167" spans="1:1" x14ac:dyDescent="0.35">
      <c r="A167" s="1">
        <v>166</v>
      </c>
    </row>
    <row r="168" spans="1:1" x14ac:dyDescent="0.35">
      <c r="A168" s="1">
        <v>167</v>
      </c>
    </row>
    <row r="169" spans="1:1" x14ac:dyDescent="0.35">
      <c r="A169" s="1">
        <v>168</v>
      </c>
    </row>
    <row r="170" spans="1:1" x14ac:dyDescent="0.35">
      <c r="A170" s="1">
        <v>169</v>
      </c>
    </row>
    <row r="171" spans="1:1" x14ac:dyDescent="0.35">
      <c r="A171" s="1">
        <v>170</v>
      </c>
    </row>
    <row r="172" spans="1:1" x14ac:dyDescent="0.35">
      <c r="A172" s="1">
        <v>171</v>
      </c>
    </row>
    <row r="173" spans="1:1" x14ac:dyDescent="0.35">
      <c r="A173" s="1">
        <v>172</v>
      </c>
    </row>
    <row r="174" spans="1:1" x14ac:dyDescent="0.35">
      <c r="A174" s="1">
        <v>173</v>
      </c>
    </row>
    <row r="175" spans="1:1" x14ac:dyDescent="0.35">
      <c r="A175" s="1">
        <v>174</v>
      </c>
    </row>
    <row r="176" spans="1:1" x14ac:dyDescent="0.35">
      <c r="A176" s="1">
        <v>175</v>
      </c>
    </row>
    <row r="177" spans="1:1" x14ac:dyDescent="0.35">
      <c r="A177" s="1">
        <v>176</v>
      </c>
    </row>
    <row r="178" spans="1:1" x14ac:dyDescent="0.35">
      <c r="A178" s="1">
        <v>177</v>
      </c>
    </row>
    <row r="179" spans="1:1" x14ac:dyDescent="0.35">
      <c r="A179" s="1">
        <v>178</v>
      </c>
    </row>
    <row r="180" spans="1:1" x14ac:dyDescent="0.35">
      <c r="A180" s="1">
        <v>179</v>
      </c>
    </row>
    <row r="181" spans="1:1" x14ac:dyDescent="0.35">
      <c r="A181" s="1">
        <v>180</v>
      </c>
    </row>
    <row r="182" spans="1:1" x14ac:dyDescent="0.35">
      <c r="A182" s="1">
        <v>181</v>
      </c>
    </row>
    <row r="183" spans="1:1" x14ac:dyDescent="0.35">
      <c r="A183" s="1">
        <v>182</v>
      </c>
    </row>
    <row r="184" spans="1:1" x14ac:dyDescent="0.35">
      <c r="A184" s="1">
        <v>183</v>
      </c>
    </row>
    <row r="185" spans="1:1" x14ac:dyDescent="0.35">
      <c r="A185" s="1">
        <v>184</v>
      </c>
    </row>
    <row r="186" spans="1:1" x14ac:dyDescent="0.35">
      <c r="A186" s="1">
        <v>185</v>
      </c>
    </row>
    <row r="187" spans="1:1" x14ac:dyDescent="0.35">
      <c r="A187" s="1">
        <v>186</v>
      </c>
    </row>
    <row r="188" spans="1:1" x14ac:dyDescent="0.35">
      <c r="A188" s="1">
        <v>187</v>
      </c>
    </row>
    <row r="189" spans="1:1" x14ac:dyDescent="0.35">
      <c r="A189" s="1">
        <v>188</v>
      </c>
    </row>
    <row r="190" spans="1:1" x14ac:dyDescent="0.35">
      <c r="A190" s="1">
        <v>189</v>
      </c>
    </row>
    <row r="191" spans="1:1" x14ac:dyDescent="0.35">
      <c r="A191" s="1">
        <v>190</v>
      </c>
    </row>
    <row r="192" spans="1:1" x14ac:dyDescent="0.35">
      <c r="A192" s="1">
        <v>191</v>
      </c>
    </row>
    <row r="193" spans="1:1" x14ac:dyDescent="0.35">
      <c r="A193" s="1">
        <v>192</v>
      </c>
    </row>
    <row r="194" spans="1:1" x14ac:dyDescent="0.35">
      <c r="A194" s="1">
        <v>193</v>
      </c>
    </row>
    <row r="195" spans="1:1" x14ac:dyDescent="0.35">
      <c r="A195" s="1">
        <v>194</v>
      </c>
    </row>
    <row r="196" spans="1:1" x14ac:dyDescent="0.35">
      <c r="A196" s="1">
        <v>195</v>
      </c>
    </row>
    <row r="197" spans="1:1" x14ac:dyDescent="0.35">
      <c r="A197" s="1">
        <v>196</v>
      </c>
    </row>
    <row r="198" spans="1:1" x14ac:dyDescent="0.35">
      <c r="A198" s="1">
        <v>197</v>
      </c>
    </row>
    <row r="199" spans="1:1" x14ac:dyDescent="0.35">
      <c r="A199" s="1">
        <v>198</v>
      </c>
    </row>
    <row r="200" spans="1:1" x14ac:dyDescent="0.35">
      <c r="A200" s="1">
        <v>199</v>
      </c>
    </row>
    <row r="201" spans="1:1" x14ac:dyDescent="0.35">
      <c r="A201" s="1">
        <v>200</v>
      </c>
    </row>
    <row r="202" spans="1:1" x14ac:dyDescent="0.35">
      <c r="A202" s="1">
        <v>201</v>
      </c>
    </row>
    <row r="203" spans="1:1" x14ac:dyDescent="0.35">
      <c r="A203" s="1">
        <v>202</v>
      </c>
    </row>
    <row r="204" spans="1:1" x14ac:dyDescent="0.35">
      <c r="A204" s="1">
        <v>203</v>
      </c>
    </row>
    <row r="205" spans="1:1" x14ac:dyDescent="0.35">
      <c r="A205" s="1">
        <v>204</v>
      </c>
    </row>
    <row r="206" spans="1:1" x14ac:dyDescent="0.35">
      <c r="A206" s="1">
        <v>205</v>
      </c>
    </row>
    <row r="207" spans="1:1" x14ac:dyDescent="0.35">
      <c r="A207" s="1">
        <v>206</v>
      </c>
    </row>
    <row r="208" spans="1:1" x14ac:dyDescent="0.35">
      <c r="A208" s="1">
        <v>207</v>
      </c>
    </row>
    <row r="209" spans="1:1" x14ac:dyDescent="0.35">
      <c r="A209" s="1">
        <v>208</v>
      </c>
    </row>
    <row r="210" spans="1:1" x14ac:dyDescent="0.35">
      <c r="A210" s="1">
        <v>209</v>
      </c>
    </row>
    <row r="211" spans="1:1" x14ac:dyDescent="0.35">
      <c r="A211" s="1">
        <v>210</v>
      </c>
    </row>
    <row r="212" spans="1:1" x14ac:dyDescent="0.35">
      <c r="A212" s="1">
        <v>211</v>
      </c>
    </row>
    <row r="213" spans="1:1" x14ac:dyDescent="0.35">
      <c r="A213" s="1">
        <v>212</v>
      </c>
    </row>
    <row r="214" spans="1:1" x14ac:dyDescent="0.35">
      <c r="A214" s="1">
        <v>213</v>
      </c>
    </row>
    <row r="215" spans="1:1" x14ac:dyDescent="0.35">
      <c r="A215" s="1">
        <v>214</v>
      </c>
    </row>
    <row r="216" spans="1:1" x14ac:dyDescent="0.35">
      <c r="A216" s="1">
        <v>215</v>
      </c>
    </row>
    <row r="217" spans="1:1" x14ac:dyDescent="0.35">
      <c r="A217" s="1">
        <v>216</v>
      </c>
    </row>
    <row r="218" spans="1:1" x14ac:dyDescent="0.35">
      <c r="A218" s="1">
        <v>217</v>
      </c>
    </row>
    <row r="219" spans="1:1" x14ac:dyDescent="0.35">
      <c r="A219" s="1">
        <v>218</v>
      </c>
    </row>
    <row r="220" spans="1:1" x14ac:dyDescent="0.35">
      <c r="A220" s="1">
        <v>219</v>
      </c>
    </row>
    <row r="221" spans="1:1" x14ac:dyDescent="0.35">
      <c r="A221" s="1">
        <v>220</v>
      </c>
    </row>
    <row r="222" spans="1:1" x14ac:dyDescent="0.35">
      <c r="A222" s="1">
        <v>221</v>
      </c>
    </row>
    <row r="223" spans="1:1" x14ac:dyDescent="0.35">
      <c r="A223" s="1">
        <v>222</v>
      </c>
    </row>
    <row r="224" spans="1:1" x14ac:dyDescent="0.35">
      <c r="A224" s="1">
        <v>223</v>
      </c>
    </row>
    <row r="225" spans="1:1" x14ac:dyDescent="0.35">
      <c r="A225" s="1">
        <v>224</v>
      </c>
    </row>
    <row r="226" spans="1:1" x14ac:dyDescent="0.35">
      <c r="A226" s="1">
        <v>225</v>
      </c>
    </row>
    <row r="227" spans="1:1" x14ac:dyDescent="0.35">
      <c r="A227" s="1">
        <v>226</v>
      </c>
    </row>
    <row r="228" spans="1:1" x14ac:dyDescent="0.35">
      <c r="A228" s="1">
        <v>227</v>
      </c>
    </row>
    <row r="229" spans="1:1" x14ac:dyDescent="0.35">
      <c r="A229" s="1">
        <v>228</v>
      </c>
    </row>
    <row r="230" spans="1:1" x14ac:dyDescent="0.35">
      <c r="A230" s="1">
        <v>229</v>
      </c>
    </row>
    <row r="231" spans="1:1" x14ac:dyDescent="0.35">
      <c r="A231" s="1">
        <v>230</v>
      </c>
    </row>
    <row r="232" spans="1:1" x14ac:dyDescent="0.35">
      <c r="A232" s="1">
        <v>231</v>
      </c>
    </row>
    <row r="233" spans="1:1" x14ac:dyDescent="0.35">
      <c r="A233" s="1">
        <v>232</v>
      </c>
    </row>
    <row r="234" spans="1:1" x14ac:dyDescent="0.35">
      <c r="A234" s="1">
        <v>233</v>
      </c>
    </row>
    <row r="235" spans="1:1" x14ac:dyDescent="0.35">
      <c r="A235" s="1">
        <v>234</v>
      </c>
    </row>
    <row r="236" spans="1:1" x14ac:dyDescent="0.35">
      <c r="A236" s="1">
        <v>235</v>
      </c>
    </row>
    <row r="237" spans="1:1" x14ac:dyDescent="0.35">
      <c r="A237" s="1">
        <v>236</v>
      </c>
    </row>
    <row r="238" spans="1:1" x14ac:dyDescent="0.35">
      <c r="A238" s="1">
        <v>237</v>
      </c>
    </row>
    <row r="239" spans="1:1" x14ac:dyDescent="0.35">
      <c r="A239" s="1">
        <v>238</v>
      </c>
    </row>
    <row r="240" spans="1:1" x14ac:dyDescent="0.35">
      <c r="A240" s="1">
        <v>239</v>
      </c>
    </row>
    <row r="241" spans="1:1" x14ac:dyDescent="0.35">
      <c r="A241" s="1">
        <v>240</v>
      </c>
    </row>
    <row r="242" spans="1:1" x14ac:dyDescent="0.35">
      <c r="A242" s="1">
        <v>241</v>
      </c>
    </row>
    <row r="243" spans="1:1" x14ac:dyDescent="0.35">
      <c r="A243" s="1">
        <v>242</v>
      </c>
    </row>
    <row r="244" spans="1:1" x14ac:dyDescent="0.35">
      <c r="A244" s="1">
        <v>243</v>
      </c>
    </row>
    <row r="245" spans="1:1" x14ac:dyDescent="0.35">
      <c r="A245" s="1">
        <v>244</v>
      </c>
    </row>
    <row r="246" spans="1:1" x14ac:dyDescent="0.35">
      <c r="A246" s="1">
        <v>245</v>
      </c>
    </row>
    <row r="247" spans="1:1" x14ac:dyDescent="0.35">
      <c r="A247" s="1">
        <v>246</v>
      </c>
    </row>
    <row r="248" spans="1:1" x14ac:dyDescent="0.35">
      <c r="A248" s="1">
        <v>247</v>
      </c>
    </row>
    <row r="249" spans="1:1" x14ac:dyDescent="0.35">
      <c r="A249" s="1">
        <v>248</v>
      </c>
    </row>
    <row r="250" spans="1:1" x14ac:dyDescent="0.35">
      <c r="A250" s="1">
        <v>249</v>
      </c>
    </row>
    <row r="251" spans="1:1" x14ac:dyDescent="0.35">
      <c r="A251" s="1">
        <v>250</v>
      </c>
    </row>
    <row r="252" spans="1:1" x14ac:dyDescent="0.35">
      <c r="A252" s="1">
        <v>251</v>
      </c>
    </row>
    <row r="253" spans="1:1" x14ac:dyDescent="0.35">
      <c r="A253" s="1">
        <v>252</v>
      </c>
    </row>
    <row r="254" spans="1:1" x14ac:dyDescent="0.35">
      <c r="A254" s="1">
        <v>253</v>
      </c>
    </row>
    <row r="255" spans="1:1" x14ac:dyDescent="0.35">
      <c r="A255" s="1">
        <v>254</v>
      </c>
    </row>
    <row r="256" spans="1:1" x14ac:dyDescent="0.35">
      <c r="A256" s="1">
        <v>255</v>
      </c>
    </row>
    <row r="257" spans="1:1" x14ac:dyDescent="0.35">
      <c r="A257" s="1">
        <v>256</v>
      </c>
    </row>
    <row r="258" spans="1:1" x14ac:dyDescent="0.35">
      <c r="A258" s="1">
        <v>257</v>
      </c>
    </row>
    <row r="259" spans="1:1" x14ac:dyDescent="0.35">
      <c r="A259" s="1">
        <v>258</v>
      </c>
    </row>
    <row r="260" spans="1:1" x14ac:dyDescent="0.35">
      <c r="A260" s="1">
        <v>259</v>
      </c>
    </row>
    <row r="261" spans="1:1" x14ac:dyDescent="0.35">
      <c r="A261" s="1">
        <v>260</v>
      </c>
    </row>
    <row r="262" spans="1:1" x14ac:dyDescent="0.35">
      <c r="A262" s="1">
        <v>261</v>
      </c>
    </row>
    <row r="263" spans="1:1" x14ac:dyDescent="0.35">
      <c r="A263" s="1">
        <v>262</v>
      </c>
    </row>
    <row r="264" spans="1:1" x14ac:dyDescent="0.35">
      <c r="A264" s="1">
        <v>263</v>
      </c>
    </row>
    <row r="265" spans="1:1" x14ac:dyDescent="0.35">
      <c r="A265" s="1">
        <v>264</v>
      </c>
    </row>
    <row r="266" spans="1:1" x14ac:dyDescent="0.35">
      <c r="A266" s="1">
        <v>265</v>
      </c>
    </row>
    <row r="267" spans="1:1" x14ac:dyDescent="0.35">
      <c r="A267" s="1">
        <v>266</v>
      </c>
    </row>
    <row r="268" spans="1:1" x14ac:dyDescent="0.35">
      <c r="A268" s="1">
        <v>267</v>
      </c>
    </row>
    <row r="269" spans="1:1" x14ac:dyDescent="0.35">
      <c r="A269" s="1">
        <v>268</v>
      </c>
    </row>
    <row r="270" spans="1:1" x14ac:dyDescent="0.35">
      <c r="A270" s="1">
        <v>269</v>
      </c>
    </row>
    <row r="271" spans="1:1" x14ac:dyDescent="0.35">
      <c r="A271" s="1">
        <v>270</v>
      </c>
    </row>
    <row r="272" spans="1:1" x14ac:dyDescent="0.35">
      <c r="A272" s="1">
        <v>271</v>
      </c>
    </row>
    <row r="273" spans="1:1" x14ac:dyDescent="0.35">
      <c r="A273" s="1">
        <v>272</v>
      </c>
    </row>
    <row r="274" spans="1:1" x14ac:dyDescent="0.35">
      <c r="A274" s="1">
        <v>273</v>
      </c>
    </row>
    <row r="275" spans="1:1" x14ac:dyDescent="0.35">
      <c r="A275" s="1">
        <v>274</v>
      </c>
    </row>
    <row r="276" spans="1:1" x14ac:dyDescent="0.35">
      <c r="A276" s="1">
        <v>275</v>
      </c>
    </row>
    <row r="277" spans="1:1" x14ac:dyDescent="0.35">
      <c r="A277" s="1">
        <v>276</v>
      </c>
    </row>
    <row r="278" spans="1:1" x14ac:dyDescent="0.35">
      <c r="A278" s="1">
        <v>277</v>
      </c>
    </row>
    <row r="279" spans="1:1" x14ac:dyDescent="0.35">
      <c r="A279" s="1">
        <v>278</v>
      </c>
    </row>
    <row r="280" spans="1:1" x14ac:dyDescent="0.35">
      <c r="A280" s="1">
        <v>279</v>
      </c>
    </row>
    <row r="281" spans="1:1" x14ac:dyDescent="0.35">
      <c r="A281" s="1">
        <v>280</v>
      </c>
    </row>
    <row r="282" spans="1:1" x14ac:dyDescent="0.35">
      <c r="A282" s="1">
        <v>281</v>
      </c>
    </row>
    <row r="283" spans="1:1" x14ac:dyDescent="0.35">
      <c r="A283" s="1">
        <v>282</v>
      </c>
    </row>
    <row r="284" spans="1:1" x14ac:dyDescent="0.35">
      <c r="A284" s="1">
        <v>283</v>
      </c>
    </row>
    <row r="285" spans="1:1" x14ac:dyDescent="0.35">
      <c r="A285" s="1">
        <v>284</v>
      </c>
    </row>
    <row r="286" spans="1:1" x14ac:dyDescent="0.35">
      <c r="A286" s="1">
        <v>285</v>
      </c>
    </row>
    <row r="287" spans="1:1" x14ac:dyDescent="0.35">
      <c r="A287" s="1">
        <v>286</v>
      </c>
    </row>
    <row r="288" spans="1:1" x14ac:dyDescent="0.35">
      <c r="A288" s="1">
        <v>287</v>
      </c>
    </row>
    <row r="289" spans="1:1" x14ac:dyDescent="0.35">
      <c r="A289" s="1">
        <v>288</v>
      </c>
    </row>
    <row r="290" spans="1:1" x14ac:dyDescent="0.35">
      <c r="A290" s="1">
        <v>289</v>
      </c>
    </row>
    <row r="291" spans="1:1" x14ac:dyDescent="0.35">
      <c r="A291" s="1">
        <v>290</v>
      </c>
    </row>
    <row r="292" spans="1:1" x14ac:dyDescent="0.35">
      <c r="A292" s="1">
        <v>291</v>
      </c>
    </row>
    <row r="293" spans="1:1" x14ac:dyDescent="0.35">
      <c r="A293" s="1">
        <v>292</v>
      </c>
    </row>
    <row r="294" spans="1:1" x14ac:dyDescent="0.35">
      <c r="A294" s="1">
        <v>293</v>
      </c>
    </row>
    <row r="295" spans="1:1" x14ac:dyDescent="0.35">
      <c r="A295" s="1">
        <v>294</v>
      </c>
    </row>
    <row r="296" spans="1:1" x14ac:dyDescent="0.35">
      <c r="A296" s="1">
        <v>295</v>
      </c>
    </row>
    <row r="297" spans="1:1" x14ac:dyDescent="0.35">
      <c r="A297" s="1">
        <v>296</v>
      </c>
    </row>
    <row r="298" spans="1:1" x14ac:dyDescent="0.35">
      <c r="A298" s="1">
        <v>297</v>
      </c>
    </row>
    <row r="299" spans="1:1" x14ac:dyDescent="0.35">
      <c r="A299" s="1">
        <v>298</v>
      </c>
    </row>
    <row r="300" spans="1:1" x14ac:dyDescent="0.35">
      <c r="A300" s="1">
        <v>299</v>
      </c>
    </row>
    <row r="301" spans="1:1" x14ac:dyDescent="0.35">
      <c r="A301" s="1">
        <v>300</v>
      </c>
    </row>
    <row r="302" spans="1:1" x14ac:dyDescent="0.35">
      <c r="A302" s="1">
        <v>301</v>
      </c>
    </row>
    <row r="303" spans="1:1" x14ac:dyDescent="0.35">
      <c r="A303" s="1">
        <v>302</v>
      </c>
    </row>
    <row r="304" spans="1:1" x14ac:dyDescent="0.35">
      <c r="A304" s="1">
        <v>303</v>
      </c>
    </row>
    <row r="305" spans="1:1" x14ac:dyDescent="0.35">
      <c r="A305" s="1">
        <v>304</v>
      </c>
    </row>
    <row r="306" spans="1:1" x14ac:dyDescent="0.35">
      <c r="A306" s="1">
        <v>305</v>
      </c>
    </row>
    <row r="307" spans="1:1" x14ac:dyDescent="0.35">
      <c r="A307" s="1">
        <v>306</v>
      </c>
    </row>
    <row r="308" spans="1:1" x14ac:dyDescent="0.35">
      <c r="A308" s="1">
        <v>307</v>
      </c>
    </row>
    <row r="309" spans="1:1" x14ac:dyDescent="0.35">
      <c r="A309" s="1">
        <v>308</v>
      </c>
    </row>
    <row r="310" spans="1:1" x14ac:dyDescent="0.35">
      <c r="A310" s="1">
        <v>309</v>
      </c>
    </row>
    <row r="311" spans="1:1" x14ac:dyDescent="0.35">
      <c r="A311" s="1">
        <v>310</v>
      </c>
    </row>
    <row r="312" spans="1:1" x14ac:dyDescent="0.35">
      <c r="A312" s="1">
        <v>311</v>
      </c>
    </row>
    <row r="313" spans="1:1" x14ac:dyDescent="0.35">
      <c r="A313" s="1">
        <v>312</v>
      </c>
    </row>
    <row r="314" spans="1:1" x14ac:dyDescent="0.35">
      <c r="A314" s="1">
        <v>313</v>
      </c>
    </row>
    <row r="315" spans="1:1" x14ac:dyDescent="0.35">
      <c r="A315" s="1">
        <v>314</v>
      </c>
    </row>
    <row r="316" spans="1:1" x14ac:dyDescent="0.35">
      <c r="A316" s="1">
        <v>315</v>
      </c>
    </row>
    <row r="317" spans="1:1" x14ac:dyDescent="0.35">
      <c r="A317" s="1">
        <v>316</v>
      </c>
    </row>
    <row r="318" spans="1:1" x14ac:dyDescent="0.35">
      <c r="A318" s="1">
        <v>317</v>
      </c>
    </row>
    <row r="319" spans="1:1" x14ac:dyDescent="0.35">
      <c r="A319" s="1">
        <v>318</v>
      </c>
    </row>
    <row r="320" spans="1:1" x14ac:dyDescent="0.35">
      <c r="A320" s="1">
        <v>319</v>
      </c>
    </row>
    <row r="321" spans="1:1" x14ac:dyDescent="0.35">
      <c r="A321" s="1">
        <v>320</v>
      </c>
    </row>
    <row r="322" spans="1:1" x14ac:dyDescent="0.35">
      <c r="A322" s="1">
        <v>321</v>
      </c>
    </row>
    <row r="323" spans="1:1" x14ac:dyDescent="0.35">
      <c r="A323" s="1">
        <v>322</v>
      </c>
    </row>
    <row r="324" spans="1:1" x14ac:dyDescent="0.35">
      <c r="A324" s="1">
        <v>323</v>
      </c>
    </row>
    <row r="325" spans="1:1" x14ac:dyDescent="0.35">
      <c r="A325" s="1">
        <v>324</v>
      </c>
    </row>
    <row r="326" spans="1:1" x14ac:dyDescent="0.35">
      <c r="A326" s="1">
        <v>325</v>
      </c>
    </row>
    <row r="327" spans="1:1" x14ac:dyDescent="0.35">
      <c r="A327" s="1">
        <v>326</v>
      </c>
    </row>
    <row r="328" spans="1:1" x14ac:dyDescent="0.35">
      <c r="A328" s="1">
        <v>327</v>
      </c>
    </row>
    <row r="329" spans="1:1" x14ac:dyDescent="0.35">
      <c r="A329" s="1">
        <v>328</v>
      </c>
    </row>
    <row r="330" spans="1:1" x14ac:dyDescent="0.35">
      <c r="A330" s="1">
        <v>329</v>
      </c>
    </row>
    <row r="331" spans="1:1" x14ac:dyDescent="0.35">
      <c r="A331" s="1">
        <v>330</v>
      </c>
    </row>
    <row r="332" spans="1:1" x14ac:dyDescent="0.35">
      <c r="A332" s="1">
        <v>331</v>
      </c>
    </row>
    <row r="333" spans="1:1" x14ac:dyDescent="0.35">
      <c r="A333" s="1">
        <v>332</v>
      </c>
    </row>
    <row r="334" spans="1:1" x14ac:dyDescent="0.35">
      <c r="A334" s="1">
        <v>333</v>
      </c>
    </row>
    <row r="335" spans="1:1" x14ac:dyDescent="0.35">
      <c r="A335" s="1">
        <v>334</v>
      </c>
    </row>
    <row r="336" spans="1:1" x14ac:dyDescent="0.35">
      <c r="A336" s="1">
        <v>335</v>
      </c>
    </row>
    <row r="337" spans="1:1" x14ac:dyDescent="0.35">
      <c r="A337" s="1">
        <v>336</v>
      </c>
    </row>
    <row r="338" spans="1:1" x14ac:dyDescent="0.35">
      <c r="A338" s="1">
        <v>337</v>
      </c>
    </row>
    <row r="339" spans="1:1" x14ac:dyDescent="0.35">
      <c r="A339" s="1">
        <v>338</v>
      </c>
    </row>
    <row r="340" spans="1:1" x14ac:dyDescent="0.35">
      <c r="A340" s="1">
        <v>339</v>
      </c>
    </row>
    <row r="341" spans="1:1" x14ac:dyDescent="0.35">
      <c r="A341" s="1">
        <v>340</v>
      </c>
    </row>
    <row r="342" spans="1:1" x14ac:dyDescent="0.35">
      <c r="A342" s="1">
        <v>341</v>
      </c>
    </row>
    <row r="343" spans="1:1" x14ac:dyDescent="0.35">
      <c r="A343" s="1">
        <v>342</v>
      </c>
    </row>
    <row r="344" spans="1:1" x14ac:dyDescent="0.35">
      <c r="A344" s="1">
        <v>343</v>
      </c>
    </row>
    <row r="345" spans="1:1" x14ac:dyDescent="0.35">
      <c r="A345" s="1">
        <v>344</v>
      </c>
    </row>
    <row r="346" spans="1:1" x14ac:dyDescent="0.35">
      <c r="A346" s="1">
        <v>345</v>
      </c>
    </row>
    <row r="347" spans="1:1" x14ac:dyDescent="0.35">
      <c r="A347" s="1">
        <v>346</v>
      </c>
    </row>
    <row r="348" spans="1:1" x14ac:dyDescent="0.35">
      <c r="A348" s="1">
        <v>347</v>
      </c>
    </row>
    <row r="349" spans="1:1" x14ac:dyDescent="0.35">
      <c r="A349" s="1">
        <v>348</v>
      </c>
    </row>
    <row r="350" spans="1:1" x14ac:dyDescent="0.35">
      <c r="A350" s="1">
        <v>349</v>
      </c>
    </row>
    <row r="351" spans="1:1" x14ac:dyDescent="0.35">
      <c r="A351" s="1">
        <v>350</v>
      </c>
    </row>
    <row r="352" spans="1:1" x14ac:dyDescent="0.35">
      <c r="A352" s="1">
        <v>351</v>
      </c>
    </row>
    <row r="353" spans="1:1" x14ac:dyDescent="0.35">
      <c r="A353" s="1">
        <v>352</v>
      </c>
    </row>
    <row r="354" spans="1:1" x14ac:dyDescent="0.35">
      <c r="A354" s="1">
        <v>353</v>
      </c>
    </row>
    <row r="355" spans="1:1" x14ac:dyDescent="0.35">
      <c r="A355" s="1">
        <v>354</v>
      </c>
    </row>
    <row r="356" spans="1:1" x14ac:dyDescent="0.35">
      <c r="A356" s="1">
        <v>355</v>
      </c>
    </row>
    <row r="357" spans="1:1" x14ac:dyDescent="0.35">
      <c r="A357" s="1">
        <v>356</v>
      </c>
    </row>
    <row r="358" spans="1:1" x14ac:dyDescent="0.35">
      <c r="A358" s="1">
        <v>357</v>
      </c>
    </row>
    <row r="359" spans="1:1" x14ac:dyDescent="0.35">
      <c r="A359" s="1">
        <v>358</v>
      </c>
    </row>
    <row r="360" spans="1:1" x14ac:dyDescent="0.35">
      <c r="A360" s="1">
        <v>359</v>
      </c>
    </row>
    <row r="361" spans="1:1" x14ac:dyDescent="0.35">
      <c r="A361" s="1">
        <v>360</v>
      </c>
    </row>
    <row r="362" spans="1:1" x14ac:dyDescent="0.35">
      <c r="A362" s="1">
        <v>361</v>
      </c>
    </row>
    <row r="363" spans="1:1" x14ac:dyDescent="0.35">
      <c r="A363" s="1">
        <v>362</v>
      </c>
    </row>
    <row r="364" spans="1:1" x14ac:dyDescent="0.35">
      <c r="A364" s="1">
        <v>363</v>
      </c>
    </row>
    <row r="365" spans="1:1" x14ac:dyDescent="0.35">
      <c r="A365" s="1">
        <v>364</v>
      </c>
    </row>
    <row r="366" spans="1:1" x14ac:dyDescent="0.35">
      <c r="A366" s="1">
        <v>365</v>
      </c>
    </row>
    <row r="367" spans="1:1" x14ac:dyDescent="0.35">
      <c r="A367" s="1">
        <v>366</v>
      </c>
    </row>
    <row r="368" spans="1:1" x14ac:dyDescent="0.35">
      <c r="A368" s="1">
        <v>367</v>
      </c>
    </row>
    <row r="369" spans="1:1" x14ac:dyDescent="0.35">
      <c r="A369" s="1">
        <v>368</v>
      </c>
    </row>
    <row r="370" spans="1:1" x14ac:dyDescent="0.35">
      <c r="A370" s="1">
        <v>369</v>
      </c>
    </row>
    <row r="371" spans="1:1" x14ac:dyDescent="0.35">
      <c r="A371" s="1">
        <v>370</v>
      </c>
    </row>
    <row r="372" spans="1:1" x14ac:dyDescent="0.35">
      <c r="A372" s="1">
        <v>371</v>
      </c>
    </row>
    <row r="373" spans="1:1" x14ac:dyDescent="0.35">
      <c r="A373" s="1">
        <v>372</v>
      </c>
    </row>
    <row r="374" spans="1:1" x14ac:dyDescent="0.35">
      <c r="A374" s="1">
        <v>373</v>
      </c>
    </row>
    <row r="375" spans="1:1" x14ac:dyDescent="0.35">
      <c r="A375" s="1">
        <v>374</v>
      </c>
    </row>
    <row r="376" spans="1:1" x14ac:dyDescent="0.35">
      <c r="A376" s="1">
        <v>375</v>
      </c>
    </row>
    <row r="377" spans="1:1" x14ac:dyDescent="0.35">
      <c r="A377" s="1">
        <v>376</v>
      </c>
    </row>
    <row r="378" spans="1:1" x14ac:dyDescent="0.35">
      <c r="A378" s="1">
        <v>377</v>
      </c>
    </row>
    <row r="379" spans="1:1" x14ac:dyDescent="0.35">
      <c r="A379" s="1">
        <v>378</v>
      </c>
    </row>
    <row r="380" spans="1:1" x14ac:dyDescent="0.35">
      <c r="A380" s="1">
        <v>379</v>
      </c>
    </row>
    <row r="381" spans="1:1" x14ac:dyDescent="0.35">
      <c r="A381" s="1">
        <v>380</v>
      </c>
    </row>
    <row r="382" spans="1:1" x14ac:dyDescent="0.35">
      <c r="A382" s="1">
        <v>381</v>
      </c>
    </row>
    <row r="383" spans="1:1" x14ac:dyDescent="0.35">
      <c r="A383" s="1">
        <v>382</v>
      </c>
    </row>
    <row r="384" spans="1:1" x14ac:dyDescent="0.35">
      <c r="A384" s="1">
        <v>383</v>
      </c>
    </row>
    <row r="385" spans="1:1" x14ac:dyDescent="0.35">
      <c r="A385" s="1">
        <v>384</v>
      </c>
    </row>
    <row r="386" spans="1:1" x14ac:dyDescent="0.35">
      <c r="A386" s="1">
        <v>385</v>
      </c>
    </row>
    <row r="387" spans="1:1" x14ac:dyDescent="0.35">
      <c r="A387" s="1">
        <v>386</v>
      </c>
    </row>
    <row r="388" spans="1:1" x14ac:dyDescent="0.35">
      <c r="A388" s="1">
        <v>387</v>
      </c>
    </row>
    <row r="389" spans="1:1" x14ac:dyDescent="0.35">
      <c r="A389" s="1">
        <v>388</v>
      </c>
    </row>
    <row r="390" spans="1:1" x14ac:dyDescent="0.35">
      <c r="A390" s="1">
        <v>389</v>
      </c>
    </row>
    <row r="391" spans="1:1" x14ac:dyDescent="0.35">
      <c r="A391" s="1">
        <v>390</v>
      </c>
    </row>
    <row r="392" spans="1:1" x14ac:dyDescent="0.35">
      <c r="A392" s="1">
        <v>391</v>
      </c>
    </row>
    <row r="393" spans="1:1" x14ac:dyDescent="0.35">
      <c r="A393" s="1">
        <v>392</v>
      </c>
    </row>
    <row r="394" spans="1:1" x14ac:dyDescent="0.35">
      <c r="A394" s="1">
        <v>393</v>
      </c>
    </row>
    <row r="395" spans="1:1" x14ac:dyDescent="0.35">
      <c r="A395" s="1">
        <v>394</v>
      </c>
    </row>
    <row r="396" spans="1:1" x14ac:dyDescent="0.35">
      <c r="A396" s="1">
        <v>395</v>
      </c>
    </row>
    <row r="397" spans="1:1" x14ac:dyDescent="0.35">
      <c r="A397" s="1">
        <v>396</v>
      </c>
    </row>
    <row r="398" spans="1:1" x14ac:dyDescent="0.35">
      <c r="A398" s="1">
        <v>397</v>
      </c>
    </row>
    <row r="399" spans="1:1" x14ac:dyDescent="0.35">
      <c r="A399" s="1">
        <v>398</v>
      </c>
    </row>
    <row r="400" spans="1:1" x14ac:dyDescent="0.35">
      <c r="A400" s="1">
        <v>399</v>
      </c>
    </row>
    <row r="401" spans="1:1" x14ac:dyDescent="0.35">
      <c r="A401" s="1">
        <v>400</v>
      </c>
    </row>
    <row r="402" spans="1:1" x14ac:dyDescent="0.35">
      <c r="A402" s="1">
        <v>401</v>
      </c>
    </row>
    <row r="403" spans="1:1" x14ac:dyDescent="0.35">
      <c r="A403" s="1">
        <v>402</v>
      </c>
    </row>
    <row r="404" spans="1:1" x14ac:dyDescent="0.35">
      <c r="A404" s="1">
        <v>403</v>
      </c>
    </row>
    <row r="405" spans="1:1" x14ac:dyDescent="0.35">
      <c r="A405" s="1">
        <v>404</v>
      </c>
    </row>
    <row r="406" spans="1:1" x14ac:dyDescent="0.35">
      <c r="A406" s="1">
        <v>405</v>
      </c>
    </row>
    <row r="407" spans="1:1" x14ac:dyDescent="0.35">
      <c r="A407" s="1">
        <v>406</v>
      </c>
    </row>
    <row r="408" spans="1:1" x14ac:dyDescent="0.35">
      <c r="A408" s="1">
        <v>407</v>
      </c>
    </row>
    <row r="409" spans="1:1" x14ac:dyDescent="0.35">
      <c r="A409" s="1">
        <v>408</v>
      </c>
    </row>
    <row r="410" spans="1:1" x14ac:dyDescent="0.35">
      <c r="A410" s="1">
        <v>409</v>
      </c>
    </row>
    <row r="411" spans="1:1" x14ac:dyDescent="0.35">
      <c r="A411" s="1">
        <v>410</v>
      </c>
    </row>
    <row r="412" spans="1:1" x14ac:dyDescent="0.35">
      <c r="A412" s="1">
        <v>411</v>
      </c>
    </row>
    <row r="413" spans="1:1" x14ac:dyDescent="0.35">
      <c r="A413" s="1">
        <v>412</v>
      </c>
    </row>
    <row r="414" spans="1:1" x14ac:dyDescent="0.35">
      <c r="A414" s="1">
        <v>413</v>
      </c>
    </row>
    <row r="415" spans="1:1" x14ac:dyDescent="0.35">
      <c r="A415" s="1">
        <v>414</v>
      </c>
    </row>
    <row r="416" spans="1:1" x14ac:dyDescent="0.35">
      <c r="A416" s="1">
        <v>415</v>
      </c>
    </row>
    <row r="417" spans="1:1" x14ac:dyDescent="0.35">
      <c r="A417" s="1">
        <v>416</v>
      </c>
    </row>
    <row r="418" spans="1:1" x14ac:dyDescent="0.35">
      <c r="A418" s="1">
        <v>417</v>
      </c>
    </row>
    <row r="419" spans="1:1" x14ac:dyDescent="0.35">
      <c r="A419" s="1">
        <v>418</v>
      </c>
    </row>
    <row r="420" spans="1:1" x14ac:dyDescent="0.35">
      <c r="A420" s="1">
        <v>419</v>
      </c>
    </row>
    <row r="421" spans="1:1" x14ac:dyDescent="0.35">
      <c r="A421" s="1">
        <v>420</v>
      </c>
    </row>
    <row r="422" spans="1:1" x14ac:dyDescent="0.35">
      <c r="A422" s="1">
        <v>421</v>
      </c>
    </row>
    <row r="423" spans="1:1" x14ac:dyDescent="0.35">
      <c r="A423" s="1">
        <v>422</v>
      </c>
    </row>
    <row r="424" spans="1:1" x14ac:dyDescent="0.35">
      <c r="A424" s="1">
        <v>423</v>
      </c>
    </row>
    <row r="425" spans="1:1" x14ac:dyDescent="0.35">
      <c r="A425" s="1">
        <v>424</v>
      </c>
    </row>
    <row r="426" spans="1:1" x14ac:dyDescent="0.35">
      <c r="A426" s="1">
        <v>425</v>
      </c>
    </row>
    <row r="427" spans="1:1" x14ac:dyDescent="0.35">
      <c r="A427" s="1">
        <v>426</v>
      </c>
    </row>
    <row r="428" spans="1:1" x14ac:dyDescent="0.35">
      <c r="A428" s="1">
        <v>427</v>
      </c>
    </row>
    <row r="429" spans="1:1" x14ac:dyDescent="0.35">
      <c r="A429" s="1">
        <v>428</v>
      </c>
    </row>
    <row r="430" spans="1:1" x14ac:dyDescent="0.35">
      <c r="A430" s="1">
        <v>429</v>
      </c>
    </row>
    <row r="431" spans="1:1" x14ac:dyDescent="0.35">
      <c r="A431" s="1">
        <v>430</v>
      </c>
    </row>
    <row r="432" spans="1:1" x14ac:dyDescent="0.35">
      <c r="A432" s="1">
        <v>431</v>
      </c>
    </row>
    <row r="433" spans="1:1" x14ac:dyDescent="0.35">
      <c r="A433" s="1">
        <v>432</v>
      </c>
    </row>
    <row r="434" spans="1:1" x14ac:dyDescent="0.35">
      <c r="A434" s="1">
        <v>433</v>
      </c>
    </row>
    <row r="435" spans="1:1" x14ac:dyDescent="0.35">
      <c r="A435" s="1">
        <v>434</v>
      </c>
    </row>
    <row r="436" spans="1:1" x14ac:dyDescent="0.35">
      <c r="A436" s="1">
        <v>435</v>
      </c>
    </row>
    <row r="437" spans="1:1" x14ac:dyDescent="0.35">
      <c r="A437" s="1">
        <v>436</v>
      </c>
    </row>
    <row r="438" spans="1:1" x14ac:dyDescent="0.35">
      <c r="A438" s="1">
        <v>437</v>
      </c>
    </row>
    <row r="439" spans="1:1" x14ac:dyDescent="0.35">
      <c r="A439" s="1">
        <v>438</v>
      </c>
    </row>
    <row r="440" spans="1:1" x14ac:dyDescent="0.35">
      <c r="A440" s="1">
        <v>439</v>
      </c>
    </row>
    <row r="441" spans="1:1" x14ac:dyDescent="0.35">
      <c r="A441" s="1">
        <v>440</v>
      </c>
    </row>
    <row r="442" spans="1:1" x14ac:dyDescent="0.35">
      <c r="A442" s="1">
        <v>441</v>
      </c>
    </row>
    <row r="443" spans="1:1" x14ac:dyDescent="0.35">
      <c r="A443" s="1">
        <v>442</v>
      </c>
    </row>
    <row r="444" spans="1:1" x14ac:dyDescent="0.35">
      <c r="A444" s="1">
        <v>443</v>
      </c>
    </row>
    <row r="445" spans="1:1" x14ac:dyDescent="0.35">
      <c r="A445" s="1">
        <v>444</v>
      </c>
    </row>
    <row r="446" spans="1:1" x14ac:dyDescent="0.35">
      <c r="A446" s="1">
        <v>445</v>
      </c>
    </row>
    <row r="447" spans="1:1" x14ac:dyDescent="0.35">
      <c r="A447" s="1">
        <v>446</v>
      </c>
    </row>
    <row r="448" spans="1:1" x14ac:dyDescent="0.35">
      <c r="A448" s="1">
        <v>447</v>
      </c>
    </row>
    <row r="449" spans="1:1" x14ac:dyDescent="0.35">
      <c r="A449" s="1">
        <v>448</v>
      </c>
    </row>
    <row r="450" spans="1:1" x14ac:dyDescent="0.35">
      <c r="A450" s="1">
        <v>449</v>
      </c>
    </row>
    <row r="451" spans="1:1" x14ac:dyDescent="0.35">
      <c r="A451" s="1">
        <v>450</v>
      </c>
    </row>
    <row r="452" spans="1:1" x14ac:dyDescent="0.35">
      <c r="A452" s="1">
        <v>451</v>
      </c>
    </row>
    <row r="453" spans="1:1" x14ac:dyDescent="0.35">
      <c r="A453" s="1">
        <v>452</v>
      </c>
    </row>
    <row r="454" spans="1:1" x14ac:dyDescent="0.35">
      <c r="A454" s="1">
        <v>453</v>
      </c>
    </row>
    <row r="455" spans="1:1" x14ac:dyDescent="0.35">
      <c r="A455" s="1">
        <v>454</v>
      </c>
    </row>
    <row r="456" spans="1:1" x14ac:dyDescent="0.35">
      <c r="A456" s="1">
        <v>455</v>
      </c>
    </row>
    <row r="457" spans="1:1" x14ac:dyDescent="0.35">
      <c r="A457" s="1">
        <v>456</v>
      </c>
    </row>
    <row r="458" spans="1:1" x14ac:dyDescent="0.35">
      <c r="A458" s="1">
        <v>457</v>
      </c>
    </row>
    <row r="459" spans="1:1" x14ac:dyDescent="0.35">
      <c r="A459" s="1">
        <v>458</v>
      </c>
    </row>
    <row r="460" spans="1:1" x14ac:dyDescent="0.35">
      <c r="A460" s="1">
        <v>459</v>
      </c>
    </row>
    <row r="461" spans="1:1" x14ac:dyDescent="0.35">
      <c r="A461" s="1">
        <v>460</v>
      </c>
    </row>
    <row r="462" spans="1:1" x14ac:dyDescent="0.35">
      <c r="A462" s="1">
        <v>461</v>
      </c>
    </row>
    <row r="463" spans="1:1" x14ac:dyDescent="0.35">
      <c r="A463" s="1">
        <v>462</v>
      </c>
    </row>
    <row r="464" spans="1:1" x14ac:dyDescent="0.35">
      <c r="A464" s="1">
        <v>463</v>
      </c>
    </row>
    <row r="465" spans="1:1" x14ac:dyDescent="0.35">
      <c r="A465" s="1">
        <v>464</v>
      </c>
    </row>
    <row r="466" spans="1:1" x14ac:dyDescent="0.35">
      <c r="A466" s="1">
        <v>465</v>
      </c>
    </row>
    <row r="467" spans="1:1" x14ac:dyDescent="0.35">
      <c r="A467" s="1">
        <v>466</v>
      </c>
    </row>
    <row r="468" spans="1:1" x14ac:dyDescent="0.35">
      <c r="A468" s="1">
        <v>467</v>
      </c>
    </row>
    <row r="469" spans="1:1" x14ac:dyDescent="0.35">
      <c r="A469" s="1">
        <v>468</v>
      </c>
    </row>
    <row r="470" spans="1:1" x14ac:dyDescent="0.35">
      <c r="A470" s="1">
        <v>469</v>
      </c>
    </row>
    <row r="471" spans="1:1" x14ac:dyDescent="0.35">
      <c r="A471" s="1">
        <v>470</v>
      </c>
    </row>
    <row r="472" spans="1:1" x14ac:dyDescent="0.35">
      <c r="A472" s="1">
        <v>471</v>
      </c>
    </row>
    <row r="473" spans="1:1" x14ac:dyDescent="0.35">
      <c r="A473" s="1">
        <v>472</v>
      </c>
    </row>
    <row r="474" spans="1:1" x14ac:dyDescent="0.35">
      <c r="A474" s="1">
        <v>473</v>
      </c>
    </row>
    <row r="475" spans="1:1" x14ac:dyDescent="0.35">
      <c r="A475" s="1">
        <v>474</v>
      </c>
    </row>
    <row r="476" spans="1:1" x14ac:dyDescent="0.35">
      <c r="A476" s="1">
        <v>475</v>
      </c>
    </row>
    <row r="477" spans="1:1" x14ac:dyDescent="0.35">
      <c r="A477" s="1">
        <v>476</v>
      </c>
    </row>
    <row r="478" spans="1:1" x14ac:dyDescent="0.35">
      <c r="A478" s="1">
        <v>477</v>
      </c>
    </row>
    <row r="479" spans="1:1" x14ac:dyDescent="0.35">
      <c r="A479" s="1">
        <v>478</v>
      </c>
    </row>
    <row r="480" spans="1:1" x14ac:dyDescent="0.35">
      <c r="A480" s="1">
        <v>479</v>
      </c>
    </row>
    <row r="481" spans="1:1" x14ac:dyDescent="0.35">
      <c r="A481" s="1">
        <v>480</v>
      </c>
    </row>
    <row r="482" spans="1:1" x14ac:dyDescent="0.35">
      <c r="A482" s="1">
        <v>481</v>
      </c>
    </row>
    <row r="483" spans="1:1" x14ac:dyDescent="0.35">
      <c r="A483" s="1">
        <v>482</v>
      </c>
    </row>
    <row r="484" spans="1:1" x14ac:dyDescent="0.35">
      <c r="A484" s="1">
        <v>483</v>
      </c>
    </row>
    <row r="485" spans="1:1" x14ac:dyDescent="0.35">
      <c r="A485" s="1">
        <v>484</v>
      </c>
    </row>
    <row r="486" spans="1:1" x14ac:dyDescent="0.35">
      <c r="A486" s="1">
        <v>485</v>
      </c>
    </row>
    <row r="487" spans="1:1" x14ac:dyDescent="0.35">
      <c r="A487" s="1">
        <v>486</v>
      </c>
    </row>
    <row r="488" spans="1:1" x14ac:dyDescent="0.35">
      <c r="A488" s="1">
        <v>487</v>
      </c>
    </row>
    <row r="489" spans="1:1" x14ac:dyDescent="0.35">
      <c r="A489" s="1">
        <v>488</v>
      </c>
    </row>
    <row r="490" spans="1:1" x14ac:dyDescent="0.35">
      <c r="A490" s="1">
        <v>489</v>
      </c>
    </row>
    <row r="491" spans="1:1" x14ac:dyDescent="0.35">
      <c r="A491" s="1">
        <v>490</v>
      </c>
    </row>
    <row r="492" spans="1:1" x14ac:dyDescent="0.35">
      <c r="A492" s="1">
        <v>491</v>
      </c>
    </row>
    <row r="493" spans="1:1" x14ac:dyDescent="0.35">
      <c r="A493" s="1">
        <v>492</v>
      </c>
    </row>
    <row r="494" spans="1:1" x14ac:dyDescent="0.35">
      <c r="A494" s="1">
        <v>493</v>
      </c>
    </row>
    <row r="495" spans="1:1" x14ac:dyDescent="0.35">
      <c r="A495" s="1">
        <v>494</v>
      </c>
    </row>
    <row r="496" spans="1:1" x14ac:dyDescent="0.35">
      <c r="A496" s="1">
        <v>495</v>
      </c>
    </row>
    <row r="497" spans="1:1" x14ac:dyDescent="0.35">
      <c r="A497" s="1">
        <v>496</v>
      </c>
    </row>
    <row r="498" spans="1:1" x14ac:dyDescent="0.35">
      <c r="A498" s="1">
        <v>497</v>
      </c>
    </row>
    <row r="499" spans="1:1" x14ac:dyDescent="0.35">
      <c r="A499" s="1">
        <v>498</v>
      </c>
    </row>
    <row r="500" spans="1:1" x14ac:dyDescent="0.35">
      <c r="A500" s="1">
        <v>499</v>
      </c>
    </row>
    <row r="501" spans="1:1" x14ac:dyDescent="0.35">
      <c r="A501" s="1">
        <v>500</v>
      </c>
    </row>
    <row r="502" spans="1:1" x14ac:dyDescent="0.35">
      <c r="A502" s="1">
        <v>501</v>
      </c>
    </row>
    <row r="503" spans="1:1" x14ac:dyDescent="0.35">
      <c r="A503" s="1">
        <v>502</v>
      </c>
    </row>
    <row r="504" spans="1:1" x14ac:dyDescent="0.35">
      <c r="A504" s="1">
        <v>503</v>
      </c>
    </row>
    <row r="505" spans="1:1" x14ac:dyDescent="0.35">
      <c r="A505" s="1">
        <v>504</v>
      </c>
    </row>
    <row r="506" spans="1:1" x14ac:dyDescent="0.35">
      <c r="A506" s="1">
        <v>505</v>
      </c>
    </row>
    <row r="507" spans="1:1" x14ac:dyDescent="0.35">
      <c r="A507" s="1">
        <v>506</v>
      </c>
    </row>
    <row r="508" spans="1:1" x14ac:dyDescent="0.35">
      <c r="A508" s="1">
        <v>507</v>
      </c>
    </row>
    <row r="509" spans="1:1" x14ac:dyDescent="0.35">
      <c r="A509" s="1">
        <v>508</v>
      </c>
    </row>
    <row r="510" spans="1:1" x14ac:dyDescent="0.35">
      <c r="A510" s="1">
        <v>509</v>
      </c>
    </row>
    <row r="511" spans="1:1" x14ac:dyDescent="0.35">
      <c r="A511" s="1">
        <v>510</v>
      </c>
    </row>
    <row r="512" spans="1:1" x14ac:dyDescent="0.35">
      <c r="A512" s="1">
        <v>511</v>
      </c>
    </row>
    <row r="513" spans="1:1" x14ac:dyDescent="0.35">
      <c r="A513" s="1">
        <v>512</v>
      </c>
    </row>
    <row r="514" spans="1:1" x14ac:dyDescent="0.35">
      <c r="A514" s="1">
        <v>513</v>
      </c>
    </row>
    <row r="515" spans="1:1" x14ac:dyDescent="0.35">
      <c r="A515" s="1">
        <v>514</v>
      </c>
    </row>
    <row r="516" spans="1:1" x14ac:dyDescent="0.35">
      <c r="A516" s="1">
        <v>515</v>
      </c>
    </row>
    <row r="517" spans="1:1" x14ac:dyDescent="0.35">
      <c r="A517" s="1">
        <v>516</v>
      </c>
    </row>
    <row r="518" spans="1:1" x14ac:dyDescent="0.35">
      <c r="A518" s="1">
        <v>517</v>
      </c>
    </row>
    <row r="519" spans="1:1" x14ac:dyDescent="0.35">
      <c r="A519" s="1">
        <v>518</v>
      </c>
    </row>
    <row r="520" spans="1:1" x14ac:dyDescent="0.35">
      <c r="A520" s="1">
        <v>519</v>
      </c>
    </row>
    <row r="521" spans="1:1" x14ac:dyDescent="0.35">
      <c r="A521" s="1">
        <v>520</v>
      </c>
    </row>
    <row r="522" spans="1:1" x14ac:dyDescent="0.35">
      <c r="A522" s="1">
        <v>521</v>
      </c>
    </row>
    <row r="523" spans="1:1" x14ac:dyDescent="0.35">
      <c r="A523" s="1">
        <v>522</v>
      </c>
    </row>
    <row r="524" spans="1:1" x14ac:dyDescent="0.35">
      <c r="A524" s="1">
        <v>523</v>
      </c>
    </row>
    <row r="525" spans="1:1" x14ac:dyDescent="0.35">
      <c r="A525" s="1">
        <v>524</v>
      </c>
    </row>
    <row r="526" spans="1:1" x14ac:dyDescent="0.35">
      <c r="A526" s="1">
        <v>525</v>
      </c>
    </row>
    <row r="527" spans="1:1" x14ac:dyDescent="0.35">
      <c r="A527" s="1">
        <v>526</v>
      </c>
    </row>
    <row r="528" spans="1:1" x14ac:dyDescent="0.35">
      <c r="A528" s="1">
        <v>527</v>
      </c>
    </row>
    <row r="529" spans="1:1" x14ac:dyDescent="0.35">
      <c r="A529" s="1">
        <v>528</v>
      </c>
    </row>
    <row r="530" spans="1:1" x14ac:dyDescent="0.35">
      <c r="A530" s="1">
        <v>529</v>
      </c>
    </row>
    <row r="531" spans="1:1" x14ac:dyDescent="0.35">
      <c r="A531" s="1">
        <v>530</v>
      </c>
    </row>
    <row r="532" spans="1:1" x14ac:dyDescent="0.35">
      <c r="A532" s="1">
        <v>531</v>
      </c>
    </row>
    <row r="533" spans="1:1" x14ac:dyDescent="0.35">
      <c r="A533" s="1">
        <v>532</v>
      </c>
    </row>
    <row r="534" spans="1:1" x14ac:dyDescent="0.35">
      <c r="A534" s="1">
        <v>533</v>
      </c>
    </row>
    <row r="535" spans="1:1" x14ac:dyDescent="0.35">
      <c r="A535" s="1">
        <v>534</v>
      </c>
    </row>
    <row r="536" spans="1:1" x14ac:dyDescent="0.35">
      <c r="A536" s="1">
        <v>535</v>
      </c>
    </row>
    <row r="537" spans="1:1" x14ac:dyDescent="0.35">
      <c r="A537" s="1">
        <v>536</v>
      </c>
    </row>
    <row r="538" spans="1:1" x14ac:dyDescent="0.35">
      <c r="A538" s="1">
        <v>537</v>
      </c>
    </row>
    <row r="539" spans="1:1" x14ac:dyDescent="0.35">
      <c r="A539" s="1">
        <v>538</v>
      </c>
    </row>
    <row r="540" spans="1:1" x14ac:dyDescent="0.35">
      <c r="A540" s="1">
        <v>539</v>
      </c>
    </row>
    <row r="541" spans="1:1" x14ac:dyDescent="0.35">
      <c r="A541" s="1">
        <v>540</v>
      </c>
    </row>
    <row r="542" spans="1:1" x14ac:dyDescent="0.35">
      <c r="A542" s="1">
        <v>541</v>
      </c>
    </row>
    <row r="543" spans="1:1" x14ac:dyDescent="0.35">
      <c r="A543" s="1">
        <v>542</v>
      </c>
    </row>
    <row r="544" spans="1:1" x14ac:dyDescent="0.35">
      <c r="A544" s="1">
        <v>543</v>
      </c>
    </row>
    <row r="545" spans="1:1" x14ac:dyDescent="0.35">
      <c r="A545" s="1">
        <v>544</v>
      </c>
    </row>
    <row r="546" spans="1:1" x14ac:dyDescent="0.35">
      <c r="A546" s="1">
        <v>545</v>
      </c>
    </row>
    <row r="547" spans="1:1" x14ac:dyDescent="0.35">
      <c r="A547" s="1">
        <v>546</v>
      </c>
    </row>
    <row r="548" spans="1:1" x14ac:dyDescent="0.35">
      <c r="A548" s="1">
        <v>547</v>
      </c>
    </row>
    <row r="549" spans="1:1" x14ac:dyDescent="0.35">
      <c r="A549" s="1">
        <v>548</v>
      </c>
    </row>
    <row r="550" spans="1:1" x14ac:dyDescent="0.35">
      <c r="A550" s="1">
        <v>549</v>
      </c>
    </row>
    <row r="551" spans="1:1" x14ac:dyDescent="0.35">
      <c r="A551" s="1">
        <v>550</v>
      </c>
    </row>
    <row r="552" spans="1:1" x14ac:dyDescent="0.35">
      <c r="A552" s="1">
        <v>551</v>
      </c>
    </row>
    <row r="553" spans="1:1" x14ac:dyDescent="0.35">
      <c r="A553" s="1">
        <v>552</v>
      </c>
    </row>
    <row r="554" spans="1:1" x14ac:dyDescent="0.35">
      <c r="A554" s="1">
        <v>553</v>
      </c>
    </row>
    <row r="555" spans="1:1" x14ac:dyDescent="0.35">
      <c r="A555" s="1">
        <v>554</v>
      </c>
    </row>
    <row r="556" spans="1:1" x14ac:dyDescent="0.35">
      <c r="A556" s="1">
        <v>555</v>
      </c>
    </row>
    <row r="557" spans="1:1" x14ac:dyDescent="0.35">
      <c r="A557" s="1">
        <v>556</v>
      </c>
    </row>
    <row r="558" spans="1:1" x14ac:dyDescent="0.35">
      <c r="A558" s="1">
        <v>557</v>
      </c>
    </row>
    <row r="559" spans="1:1" x14ac:dyDescent="0.35">
      <c r="A559" s="1">
        <v>558</v>
      </c>
    </row>
    <row r="560" spans="1:1" x14ac:dyDescent="0.35">
      <c r="A560" s="1">
        <v>559</v>
      </c>
    </row>
    <row r="561" spans="1:1" x14ac:dyDescent="0.35">
      <c r="A561" s="1">
        <v>560</v>
      </c>
    </row>
    <row r="562" spans="1:1" x14ac:dyDescent="0.35">
      <c r="A562" s="1">
        <v>561</v>
      </c>
    </row>
    <row r="563" spans="1:1" x14ac:dyDescent="0.35">
      <c r="A563" s="1">
        <v>562</v>
      </c>
    </row>
    <row r="564" spans="1:1" x14ac:dyDescent="0.35">
      <c r="A564" s="1">
        <v>563</v>
      </c>
    </row>
    <row r="565" spans="1:1" x14ac:dyDescent="0.35">
      <c r="A565" s="1">
        <v>564</v>
      </c>
    </row>
    <row r="566" spans="1:1" x14ac:dyDescent="0.35">
      <c r="A566" s="1">
        <v>565</v>
      </c>
    </row>
    <row r="567" spans="1:1" x14ac:dyDescent="0.35">
      <c r="A567" s="1">
        <v>566</v>
      </c>
    </row>
    <row r="568" spans="1:1" x14ac:dyDescent="0.35">
      <c r="A568" s="1">
        <v>567</v>
      </c>
    </row>
    <row r="569" spans="1:1" x14ac:dyDescent="0.35">
      <c r="A569" s="1">
        <v>568</v>
      </c>
    </row>
    <row r="570" spans="1:1" x14ac:dyDescent="0.35">
      <c r="A570" s="1">
        <v>569</v>
      </c>
    </row>
    <row r="571" spans="1:1" x14ac:dyDescent="0.35">
      <c r="A571" s="1">
        <v>570</v>
      </c>
    </row>
    <row r="572" spans="1:1" x14ac:dyDescent="0.35">
      <c r="A572" s="1">
        <v>571</v>
      </c>
    </row>
    <row r="573" spans="1:1" x14ac:dyDescent="0.35">
      <c r="A573" s="1">
        <v>572</v>
      </c>
    </row>
    <row r="574" spans="1:1" x14ac:dyDescent="0.35">
      <c r="A574" s="1">
        <v>573</v>
      </c>
    </row>
    <row r="575" spans="1:1" x14ac:dyDescent="0.35">
      <c r="A575" s="1">
        <v>574</v>
      </c>
    </row>
    <row r="576" spans="1:1" x14ac:dyDescent="0.35">
      <c r="A576" s="1">
        <v>575</v>
      </c>
    </row>
    <row r="577" spans="1:1" x14ac:dyDescent="0.35">
      <c r="A577" s="1">
        <v>576</v>
      </c>
    </row>
    <row r="578" spans="1:1" x14ac:dyDescent="0.35">
      <c r="A578" s="1">
        <v>577</v>
      </c>
    </row>
    <row r="579" spans="1:1" x14ac:dyDescent="0.35">
      <c r="A579" s="1">
        <v>578</v>
      </c>
    </row>
    <row r="580" spans="1:1" x14ac:dyDescent="0.35">
      <c r="A580" s="1">
        <v>579</v>
      </c>
    </row>
    <row r="581" spans="1:1" x14ac:dyDescent="0.35">
      <c r="A581" s="1">
        <v>580</v>
      </c>
    </row>
    <row r="582" spans="1:1" x14ac:dyDescent="0.35">
      <c r="A582" s="1">
        <v>581</v>
      </c>
    </row>
    <row r="583" spans="1:1" x14ac:dyDescent="0.35">
      <c r="A583" s="1">
        <v>582</v>
      </c>
    </row>
    <row r="584" spans="1:1" x14ac:dyDescent="0.35">
      <c r="A584" s="1">
        <v>583</v>
      </c>
    </row>
    <row r="585" spans="1:1" x14ac:dyDescent="0.35">
      <c r="A585" s="1">
        <v>584</v>
      </c>
    </row>
    <row r="586" spans="1:1" x14ac:dyDescent="0.35">
      <c r="A586" s="1">
        <v>585</v>
      </c>
    </row>
    <row r="587" spans="1:1" x14ac:dyDescent="0.35">
      <c r="A587" s="1">
        <v>586</v>
      </c>
    </row>
    <row r="588" spans="1:1" x14ac:dyDescent="0.35">
      <c r="A588" s="1">
        <v>587</v>
      </c>
    </row>
    <row r="589" spans="1:1" x14ac:dyDescent="0.35">
      <c r="A589" s="1">
        <v>588</v>
      </c>
    </row>
    <row r="590" spans="1:1" x14ac:dyDescent="0.35">
      <c r="A590" s="1">
        <v>589</v>
      </c>
    </row>
    <row r="591" spans="1:1" x14ac:dyDescent="0.35">
      <c r="A591" s="1">
        <v>590</v>
      </c>
    </row>
    <row r="592" spans="1:1" x14ac:dyDescent="0.35">
      <c r="A592" s="1">
        <v>591</v>
      </c>
    </row>
    <row r="593" spans="1:1" x14ac:dyDescent="0.35">
      <c r="A593" s="1">
        <v>592</v>
      </c>
    </row>
    <row r="594" spans="1:1" x14ac:dyDescent="0.35">
      <c r="A594" s="1">
        <v>593</v>
      </c>
    </row>
    <row r="595" spans="1:1" x14ac:dyDescent="0.35">
      <c r="A595" s="1">
        <v>594</v>
      </c>
    </row>
    <row r="596" spans="1:1" x14ac:dyDescent="0.35">
      <c r="A596" s="1">
        <v>595</v>
      </c>
    </row>
    <row r="597" spans="1:1" x14ac:dyDescent="0.35">
      <c r="A597" s="1">
        <v>596</v>
      </c>
    </row>
    <row r="598" spans="1:1" x14ac:dyDescent="0.35">
      <c r="A598" s="1">
        <v>597</v>
      </c>
    </row>
    <row r="599" spans="1:1" x14ac:dyDescent="0.35">
      <c r="A599" s="1">
        <v>598</v>
      </c>
    </row>
    <row r="600" spans="1:1" x14ac:dyDescent="0.35">
      <c r="A600" s="1">
        <v>599</v>
      </c>
    </row>
    <row r="601" spans="1:1" x14ac:dyDescent="0.35">
      <c r="A601" s="1">
        <v>600</v>
      </c>
    </row>
    <row r="602" spans="1:1" x14ac:dyDescent="0.35">
      <c r="A602" s="1">
        <v>601</v>
      </c>
    </row>
    <row r="603" spans="1:1" x14ac:dyDescent="0.35">
      <c r="A603" s="1">
        <v>602</v>
      </c>
    </row>
    <row r="604" spans="1:1" x14ac:dyDescent="0.35">
      <c r="A604" s="1">
        <v>603</v>
      </c>
    </row>
    <row r="605" spans="1:1" x14ac:dyDescent="0.35">
      <c r="A605" s="1">
        <v>604</v>
      </c>
    </row>
    <row r="606" spans="1:1" x14ac:dyDescent="0.35">
      <c r="A606" s="1">
        <v>605</v>
      </c>
    </row>
    <row r="607" spans="1:1" x14ac:dyDescent="0.35">
      <c r="A607" s="1">
        <v>606</v>
      </c>
    </row>
    <row r="608" spans="1:1" x14ac:dyDescent="0.35">
      <c r="A608" s="1">
        <v>607</v>
      </c>
    </row>
    <row r="609" spans="1:1" x14ac:dyDescent="0.35">
      <c r="A609" s="1">
        <v>608</v>
      </c>
    </row>
    <row r="610" spans="1:1" x14ac:dyDescent="0.35">
      <c r="A610" s="1">
        <v>609</v>
      </c>
    </row>
    <row r="611" spans="1:1" x14ac:dyDescent="0.35">
      <c r="A611" s="1">
        <v>610</v>
      </c>
    </row>
    <row r="612" spans="1:1" x14ac:dyDescent="0.35">
      <c r="A612" s="1">
        <v>611</v>
      </c>
    </row>
    <row r="613" spans="1:1" x14ac:dyDescent="0.35">
      <c r="A613" s="1">
        <v>612</v>
      </c>
    </row>
    <row r="614" spans="1:1" x14ac:dyDescent="0.35">
      <c r="A614" s="1">
        <v>613</v>
      </c>
    </row>
    <row r="615" spans="1:1" x14ac:dyDescent="0.35">
      <c r="A615" s="1">
        <v>614</v>
      </c>
    </row>
    <row r="616" spans="1:1" x14ac:dyDescent="0.35">
      <c r="A616" s="1">
        <v>615</v>
      </c>
    </row>
    <row r="617" spans="1:1" x14ac:dyDescent="0.35">
      <c r="A617" s="1">
        <v>616</v>
      </c>
    </row>
    <row r="618" spans="1:1" x14ac:dyDescent="0.35">
      <c r="A618" s="1">
        <v>617</v>
      </c>
    </row>
    <row r="619" spans="1:1" x14ac:dyDescent="0.35">
      <c r="A619" s="1">
        <v>618</v>
      </c>
    </row>
    <row r="620" spans="1:1" x14ac:dyDescent="0.35">
      <c r="A620" s="1">
        <v>619</v>
      </c>
    </row>
    <row r="621" spans="1:1" x14ac:dyDescent="0.35">
      <c r="A621" s="1">
        <v>620</v>
      </c>
    </row>
    <row r="622" spans="1:1" x14ac:dyDescent="0.35">
      <c r="A622" s="1">
        <v>621</v>
      </c>
    </row>
    <row r="623" spans="1:1" x14ac:dyDescent="0.35">
      <c r="A623" s="1">
        <v>622</v>
      </c>
    </row>
    <row r="624" spans="1:1" x14ac:dyDescent="0.35">
      <c r="A624" s="1">
        <v>623</v>
      </c>
    </row>
    <row r="625" spans="1:1" x14ac:dyDescent="0.35">
      <c r="A625" s="1">
        <v>624</v>
      </c>
    </row>
    <row r="626" spans="1:1" x14ac:dyDescent="0.35">
      <c r="A626" s="1">
        <v>625</v>
      </c>
    </row>
    <row r="627" spans="1:1" x14ac:dyDescent="0.35">
      <c r="A627" s="1">
        <v>626</v>
      </c>
    </row>
    <row r="628" spans="1:1" x14ac:dyDescent="0.35">
      <c r="A628" s="1">
        <v>627</v>
      </c>
    </row>
    <row r="629" spans="1:1" x14ac:dyDescent="0.35">
      <c r="A629" s="1">
        <v>628</v>
      </c>
    </row>
    <row r="630" spans="1:1" x14ac:dyDescent="0.35">
      <c r="A630" s="1">
        <v>629</v>
      </c>
    </row>
    <row r="631" spans="1:1" x14ac:dyDescent="0.35">
      <c r="A631" s="1">
        <v>630</v>
      </c>
    </row>
    <row r="632" spans="1:1" x14ac:dyDescent="0.35">
      <c r="A632" s="1">
        <v>631</v>
      </c>
    </row>
    <row r="633" spans="1:1" x14ac:dyDescent="0.35">
      <c r="A633" s="1">
        <v>632</v>
      </c>
    </row>
    <row r="634" spans="1:1" x14ac:dyDescent="0.35">
      <c r="A634" s="1">
        <v>633</v>
      </c>
    </row>
    <row r="635" spans="1:1" x14ac:dyDescent="0.35">
      <c r="A635" s="1">
        <v>634</v>
      </c>
    </row>
    <row r="636" spans="1:1" x14ac:dyDescent="0.35">
      <c r="A636" s="1">
        <v>635</v>
      </c>
    </row>
    <row r="637" spans="1:1" x14ac:dyDescent="0.35">
      <c r="A637" s="1">
        <v>636</v>
      </c>
    </row>
    <row r="638" spans="1:1" x14ac:dyDescent="0.35">
      <c r="A638" s="1">
        <v>637</v>
      </c>
    </row>
    <row r="639" spans="1:1" x14ac:dyDescent="0.35">
      <c r="A639" s="1">
        <v>638</v>
      </c>
    </row>
    <row r="640" spans="1:1" x14ac:dyDescent="0.35">
      <c r="A640" s="1">
        <v>639</v>
      </c>
    </row>
    <row r="641" spans="1:1" x14ac:dyDescent="0.35">
      <c r="A641" s="1">
        <v>640</v>
      </c>
    </row>
    <row r="642" spans="1:1" x14ac:dyDescent="0.35">
      <c r="A642" s="1">
        <v>641</v>
      </c>
    </row>
    <row r="643" spans="1:1" x14ac:dyDescent="0.35">
      <c r="A643" s="1">
        <v>642</v>
      </c>
    </row>
    <row r="644" spans="1:1" x14ac:dyDescent="0.35">
      <c r="A644" s="1">
        <v>643</v>
      </c>
    </row>
    <row r="645" spans="1:1" x14ac:dyDescent="0.35">
      <c r="A645" s="1">
        <v>644</v>
      </c>
    </row>
    <row r="646" spans="1:1" x14ac:dyDescent="0.35">
      <c r="A646" s="1">
        <v>645</v>
      </c>
    </row>
    <row r="647" spans="1:1" x14ac:dyDescent="0.35">
      <c r="A647" s="1">
        <v>646</v>
      </c>
    </row>
    <row r="648" spans="1:1" x14ac:dyDescent="0.35">
      <c r="A648" s="1">
        <v>647</v>
      </c>
    </row>
    <row r="649" spans="1:1" x14ac:dyDescent="0.35">
      <c r="A649" s="1">
        <v>648</v>
      </c>
    </row>
    <row r="650" spans="1:1" x14ac:dyDescent="0.35">
      <c r="A650" s="1">
        <v>649</v>
      </c>
    </row>
    <row r="651" spans="1:1" x14ac:dyDescent="0.35">
      <c r="A651" s="1">
        <v>650</v>
      </c>
    </row>
    <row r="652" spans="1:1" x14ac:dyDescent="0.35">
      <c r="A652" s="1">
        <v>651</v>
      </c>
    </row>
    <row r="653" spans="1:1" x14ac:dyDescent="0.35">
      <c r="A653" s="1">
        <v>652</v>
      </c>
    </row>
    <row r="654" spans="1:1" x14ac:dyDescent="0.35">
      <c r="A654" s="1">
        <v>653</v>
      </c>
    </row>
    <row r="655" spans="1:1" x14ac:dyDescent="0.35">
      <c r="A655" s="1">
        <v>654</v>
      </c>
    </row>
    <row r="656" spans="1:1" x14ac:dyDescent="0.35">
      <c r="A656" s="1">
        <v>655</v>
      </c>
    </row>
    <row r="657" spans="1:1" x14ac:dyDescent="0.35">
      <c r="A657" s="1">
        <v>656</v>
      </c>
    </row>
    <row r="658" spans="1:1" x14ac:dyDescent="0.35">
      <c r="A658" s="1">
        <v>657</v>
      </c>
    </row>
    <row r="659" spans="1:1" x14ac:dyDescent="0.35">
      <c r="A659" s="1">
        <v>658</v>
      </c>
    </row>
    <row r="660" spans="1:1" x14ac:dyDescent="0.35">
      <c r="A660" s="1">
        <v>659</v>
      </c>
    </row>
    <row r="661" spans="1:1" x14ac:dyDescent="0.35">
      <c r="A661" s="1">
        <v>660</v>
      </c>
    </row>
    <row r="662" spans="1:1" x14ac:dyDescent="0.35">
      <c r="A662" s="1">
        <v>661</v>
      </c>
    </row>
    <row r="663" spans="1:1" x14ac:dyDescent="0.35">
      <c r="A663" s="1">
        <v>662</v>
      </c>
    </row>
    <row r="664" spans="1:1" x14ac:dyDescent="0.35">
      <c r="A664" s="1">
        <v>663</v>
      </c>
    </row>
    <row r="665" spans="1:1" x14ac:dyDescent="0.35">
      <c r="A665" s="1">
        <v>664</v>
      </c>
    </row>
    <row r="666" spans="1:1" x14ac:dyDescent="0.35">
      <c r="A666" s="1">
        <v>665</v>
      </c>
    </row>
    <row r="667" spans="1:1" x14ac:dyDescent="0.35">
      <c r="A667" s="1">
        <v>666</v>
      </c>
    </row>
    <row r="668" spans="1:1" x14ac:dyDescent="0.35">
      <c r="A668" s="1">
        <v>667</v>
      </c>
    </row>
    <row r="669" spans="1:1" x14ac:dyDescent="0.35">
      <c r="A669" s="1">
        <v>668</v>
      </c>
    </row>
    <row r="670" spans="1:1" x14ac:dyDescent="0.35">
      <c r="A670" s="1">
        <v>669</v>
      </c>
    </row>
    <row r="671" spans="1:1" x14ac:dyDescent="0.35">
      <c r="A671" s="1">
        <v>670</v>
      </c>
    </row>
    <row r="672" spans="1:1" x14ac:dyDescent="0.35">
      <c r="A672" s="1">
        <v>671</v>
      </c>
    </row>
    <row r="673" spans="1:1" x14ac:dyDescent="0.35">
      <c r="A673" s="1">
        <v>672</v>
      </c>
    </row>
    <row r="674" spans="1:1" x14ac:dyDescent="0.35">
      <c r="A674" s="1">
        <v>673</v>
      </c>
    </row>
    <row r="675" spans="1:1" x14ac:dyDescent="0.35">
      <c r="A675" s="1">
        <v>674</v>
      </c>
    </row>
    <row r="676" spans="1:1" x14ac:dyDescent="0.35">
      <c r="A676" s="1">
        <v>675</v>
      </c>
    </row>
    <row r="677" spans="1:1" x14ac:dyDescent="0.35">
      <c r="A677" s="1">
        <v>676</v>
      </c>
    </row>
    <row r="678" spans="1:1" x14ac:dyDescent="0.35">
      <c r="A678" s="1">
        <v>677</v>
      </c>
    </row>
    <row r="679" spans="1:1" x14ac:dyDescent="0.35">
      <c r="A679" s="1">
        <v>678</v>
      </c>
    </row>
    <row r="680" spans="1:1" x14ac:dyDescent="0.35">
      <c r="A680" s="1">
        <v>679</v>
      </c>
    </row>
    <row r="681" spans="1:1" x14ac:dyDescent="0.35">
      <c r="A681" s="1">
        <v>680</v>
      </c>
    </row>
    <row r="682" spans="1:1" x14ac:dyDescent="0.35">
      <c r="A682" s="1">
        <v>681</v>
      </c>
    </row>
    <row r="683" spans="1:1" x14ac:dyDescent="0.35">
      <c r="A683" s="1">
        <v>682</v>
      </c>
    </row>
    <row r="684" spans="1:1" x14ac:dyDescent="0.35">
      <c r="A684" s="1">
        <v>683</v>
      </c>
    </row>
    <row r="685" spans="1:1" x14ac:dyDescent="0.35">
      <c r="A685" s="1">
        <v>684</v>
      </c>
    </row>
    <row r="686" spans="1:1" x14ac:dyDescent="0.35">
      <c r="A686" s="1">
        <v>685</v>
      </c>
    </row>
    <row r="687" spans="1:1" x14ac:dyDescent="0.35">
      <c r="A687" s="1">
        <v>686</v>
      </c>
    </row>
    <row r="688" spans="1:1" x14ac:dyDescent="0.35">
      <c r="A688" s="1">
        <v>687</v>
      </c>
    </row>
    <row r="689" spans="1:1" x14ac:dyDescent="0.35">
      <c r="A689" s="1">
        <v>688</v>
      </c>
    </row>
    <row r="690" spans="1:1" x14ac:dyDescent="0.35">
      <c r="A690" s="1">
        <v>689</v>
      </c>
    </row>
    <row r="691" spans="1:1" x14ac:dyDescent="0.35">
      <c r="A691" s="1">
        <v>690</v>
      </c>
    </row>
    <row r="692" spans="1:1" x14ac:dyDescent="0.35">
      <c r="A692" s="1">
        <v>691</v>
      </c>
    </row>
    <row r="693" spans="1:1" x14ac:dyDescent="0.35">
      <c r="A693" s="1">
        <v>692</v>
      </c>
    </row>
    <row r="694" spans="1:1" x14ac:dyDescent="0.35">
      <c r="A694" s="1">
        <v>693</v>
      </c>
    </row>
    <row r="695" spans="1:1" x14ac:dyDescent="0.35">
      <c r="A695" s="1">
        <v>694</v>
      </c>
    </row>
    <row r="696" spans="1:1" x14ac:dyDescent="0.35">
      <c r="A696" s="1">
        <v>695</v>
      </c>
    </row>
    <row r="697" spans="1:1" x14ac:dyDescent="0.35">
      <c r="A697" s="1">
        <v>696</v>
      </c>
    </row>
    <row r="698" spans="1:1" x14ac:dyDescent="0.35">
      <c r="A698" s="1">
        <v>697</v>
      </c>
    </row>
    <row r="699" spans="1:1" x14ac:dyDescent="0.35">
      <c r="A699" s="1">
        <v>698</v>
      </c>
    </row>
    <row r="700" spans="1:1" x14ac:dyDescent="0.35">
      <c r="A700" s="1">
        <v>699</v>
      </c>
    </row>
    <row r="701" spans="1:1" x14ac:dyDescent="0.35">
      <c r="A701" s="1">
        <v>700</v>
      </c>
    </row>
    <row r="702" spans="1:1" x14ac:dyDescent="0.35">
      <c r="A702" s="1">
        <v>701</v>
      </c>
    </row>
    <row r="703" spans="1:1" x14ac:dyDescent="0.35">
      <c r="A703" s="1">
        <v>702</v>
      </c>
    </row>
    <row r="704" spans="1:1" x14ac:dyDescent="0.35">
      <c r="A704" s="1">
        <v>703</v>
      </c>
    </row>
    <row r="705" spans="1:1" x14ac:dyDescent="0.35">
      <c r="A705" s="1">
        <v>704</v>
      </c>
    </row>
    <row r="706" spans="1:1" x14ac:dyDescent="0.35">
      <c r="A706" s="1">
        <v>705</v>
      </c>
    </row>
    <row r="707" spans="1:1" x14ac:dyDescent="0.35">
      <c r="A707" s="1">
        <v>706</v>
      </c>
    </row>
    <row r="708" spans="1:1" x14ac:dyDescent="0.35">
      <c r="A708" s="1">
        <v>707</v>
      </c>
    </row>
    <row r="709" spans="1:1" x14ac:dyDescent="0.35">
      <c r="A709" s="1">
        <v>708</v>
      </c>
    </row>
    <row r="710" spans="1:1" x14ac:dyDescent="0.35">
      <c r="A710" s="1">
        <v>709</v>
      </c>
    </row>
    <row r="711" spans="1:1" x14ac:dyDescent="0.35">
      <c r="A711" s="1">
        <v>710</v>
      </c>
    </row>
    <row r="712" spans="1:1" x14ac:dyDescent="0.35">
      <c r="A712" s="1">
        <v>711</v>
      </c>
    </row>
    <row r="713" spans="1:1" x14ac:dyDescent="0.35">
      <c r="A713" s="1">
        <v>712</v>
      </c>
    </row>
    <row r="714" spans="1:1" x14ac:dyDescent="0.35">
      <c r="A714" s="1">
        <v>713</v>
      </c>
    </row>
    <row r="715" spans="1:1" x14ac:dyDescent="0.35">
      <c r="A715" s="1">
        <v>714</v>
      </c>
    </row>
    <row r="716" spans="1:1" x14ac:dyDescent="0.35">
      <c r="A716" s="1">
        <v>715</v>
      </c>
    </row>
    <row r="717" spans="1:1" x14ac:dyDescent="0.35">
      <c r="A717" s="1">
        <v>716</v>
      </c>
    </row>
    <row r="718" spans="1:1" x14ac:dyDescent="0.35">
      <c r="A718" s="1">
        <v>717</v>
      </c>
    </row>
    <row r="719" spans="1:1" x14ac:dyDescent="0.35">
      <c r="A719" s="1">
        <v>718</v>
      </c>
    </row>
    <row r="720" spans="1:1" x14ac:dyDescent="0.35">
      <c r="A720" s="1">
        <v>719</v>
      </c>
    </row>
    <row r="721" spans="1:1" x14ac:dyDescent="0.35">
      <c r="A721" s="1">
        <v>720</v>
      </c>
    </row>
    <row r="722" spans="1:1" x14ac:dyDescent="0.35">
      <c r="A722" s="1">
        <v>721</v>
      </c>
    </row>
    <row r="723" spans="1:1" x14ac:dyDescent="0.35">
      <c r="A723" s="1">
        <v>722</v>
      </c>
    </row>
    <row r="724" spans="1:1" x14ac:dyDescent="0.35">
      <c r="A724" s="1">
        <v>723</v>
      </c>
    </row>
    <row r="725" spans="1:1" x14ac:dyDescent="0.35">
      <c r="A725" s="1">
        <v>724</v>
      </c>
    </row>
    <row r="726" spans="1:1" x14ac:dyDescent="0.35">
      <c r="A726" s="1">
        <v>725</v>
      </c>
    </row>
    <row r="727" spans="1:1" x14ac:dyDescent="0.35">
      <c r="A727" s="1">
        <v>726</v>
      </c>
    </row>
    <row r="728" spans="1:1" x14ac:dyDescent="0.35">
      <c r="A728" s="1">
        <v>727</v>
      </c>
    </row>
    <row r="729" spans="1:1" x14ac:dyDescent="0.35">
      <c r="A729" s="1">
        <v>728</v>
      </c>
    </row>
    <row r="730" spans="1:1" x14ac:dyDescent="0.35">
      <c r="A730" s="1">
        <v>729</v>
      </c>
    </row>
    <row r="731" spans="1:1" x14ac:dyDescent="0.35">
      <c r="A731" s="1">
        <v>730</v>
      </c>
    </row>
    <row r="732" spans="1:1" x14ac:dyDescent="0.35">
      <c r="A732" s="1">
        <v>731</v>
      </c>
    </row>
    <row r="733" spans="1:1" x14ac:dyDescent="0.35">
      <c r="A733" s="1">
        <v>732</v>
      </c>
    </row>
    <row r="734" spans="1:1" x14ac:dyDescent="0.35">
      <c r="A734" s="1">
        <v>733</v>
      </c>
    </row>
    <row r="735" spans="1:1" x14ac:dyDescent="0.35">
      <c r="A735" s="1">
        <v>734</v>
      </c>
    </row>
    <row r="736" spans="1:1" x14ac:dyDescent="0.35">
      <c r="A736" s="1">
        <v>735</v>
      </c>
    </row>
    <row r="737" spans="1:1" x14ac:dyDescent="0.35">
      <c r="A737" s="1">
        <v>736</v>
      </c>
    </row>
    <row r="738" spans="1:1" x14ac:dyDescent="0.35">
      <c r="A738" s="1">
        <v>737</v>
      </c>
    </row>
    <row r="739" spans="1:1" x14ac:dyDescent="0.35">
      <c r="A739" s="1">
        <v>738</v>
      </c>
    </row>
    <row r="740" spans="1:1" x14ac:dyDescent="0.35">
      <c r="A740" s="1">
        <v>739</v>
      </c>
    </row>
    <row r="741" spans="1:1" x14ac:dyDescent="0.35">
      <c r="A741" s="1">
        <v>740</v>
      </c>
    </row>
    <row r="742" spans="1:1" x14ac:dyDescent="0.35">
      <c r="A742" s="1">
        <v>741</v>
      </c>
    </row>
    <row r="743" spans="1:1" x14ac:dyDescent="0.35">
      <c r="A743" s="1">
        <v>742</v>
      </c>
    </row>
    <row r="744" spans="1:1" x14ac:dyDescent="0.35">
      <c r="A744" s="1">
        <v>743</v>
      </c>
    </row>
    <row r="745" spans="1:1" x14ac:dyDescent="0.35">
      <c r="A745" s="1">
        <v>744</v>
      </c>
    </row>
    <row r="746" spans="1:1" x14ac:dyDescent="0.35">
      <c r="A746" s="1">
        <v>745</v>
      </c>
    </row>
    <row r="747" spans="1:1" x14ac:dyDescent="0.35">
      <c r="A747" s="1">
        <v>746</v>
      </c>
    </row>
    <row r="748" spans="1:1" x14ac:dyDescent="0.35">
      <c r="A748" s="1">
        <v>747</v>
      </c>
    </row>
    <row r="749" spans="1:1" x14ac:dyDescent="0.35">
      <c r="A749" s="1">
        <v>748</v>
      </c>
    </row>
    <row r="750" spans="1:1" x14ac:dyDescent="0.35">
      <c r="A750" s="1">
        <v>749</v>
      </c>
    </row>
    <row r="751" spans="1:1" x14ac:dyDescent="0.35">
      <c r="A751" s="1">
        <v>750</v>
      </c>
    </row>
    <row r="752" spans="1:1" x14ac:dyDescent="0.35">
      <c r="A752" s="1">
        <v>751</v>
      </c>
    </row>
    <row r="753" spans="1:1" x14ac:dyDescent="0.35">
      <c r="A753" s="1">
        <v>752</v>
      </c>
    </row>
    <row r="754" spans="1:1" x14ac:dyDescent="0.35">
      <c r="A754" s="1">
        <v>753</v>
      </c>
    </row>
    <row r="755" spans="1:1" x14ac:dyDescent="0.35">
      <c r="A755" s="1">
        <v>754</v>
      </c>
    </row>
    <row r="756" spans="1:1" x14ac:dyDescent="0.35">
      <c r="A756" s="1">
        <v>755</v>
      </c>
    </row>
    <row r="757" spans="1:1" x14ac:dyDescent="0.35">
      <c r="A757" s="1">
        <v>756</v>
      </c>
    </row>
    <row r="758" spans="1:1" x14ac:dyDescent="0.35">
      <c r="A758" s="1">
        <v>757</v>
      </c>
    </row>
    <row r="759" spans="1:1" x14ac:dyDescent="0.35">
      <c r="A759" s="1">
        <v>758</v>
      </c>
    </row>
    <row r="760" spans="1:1" x14ac:dyDescent="0.35">
      <c r="A760" s="1">
        <v>759</v>
      </c>
    </row>
    <row r="761" spans="1:1" x14ac:dyDescent="0.35">
      <c r="A761" s="1">
        <v>760</v>
      </c>
    </row>
    <row r="762" spans="1:1" x14ac:dyDescent="0.35">
      <c r="A762" s="1">
        <v>761</v>
      </c>
    </row>
    <row r="763" spans="1:1" x14ac:dyDescent="0.35">
      <c r="A763" s="1">
        <v>762</v>
      </c>
    </row>
    <row r="764" spans="1:1" x14ac:dyDescent="0.35">
      <c r="A764" s="1">
        <v>763</v>
      </c>
    </row>
    <row r="765" spans="1:1" x14ac:dyDescent="0.35">
      <c r="A765" s="1">
        <v>764</v>
      </c>
    </row>
    <row r="766" spans="1:1" x14ac:dyDescent="0.35">
      <c r="A766" s="1">
        <v>765</v>
      </c>
    </row>
    <row r="767" spans="1:1" x14ac:dyDescent="0.35">
      <c r="A767" s="1">
        <v>766</v>
      </c>
    </row>
    <row r="768" spans="1:1" x14ac:dyDescent="0.35">
      <c r="A768" s="1">
        <v>767</v>
      </c>
    </row>
    <row r="769" spans="1:1" x14ac:dyDescent="0.35">
      <c r="A769" s="1">
        <v>768</v>
      </c>
    </row>
    <row r="770" spans="1:1" x14ac:dyDescent="0.35">
      <c r="A770" s="1">
        <v>769</v>
      </c>
    </row>
    <row r="771" spans="1:1" x14ac:dyDescent="0.35">
      <c r="A771" s="1">
        <v>770</v>
      </c>
    </row>
    <row r="772" spans="1:1" x14ac:dyDescent="0.35">
      <c r="A772" s="1">
        <v>771</v>
      </c>
    </row>
    <row r="773" spans="1:1" x14ac:dyDescent="0.35">
      <c r="A773" s="1">
        <v>772</v>
      </c>
    </row>
    <row r="774" spans="1:1" x14ac:dyDescent="0.35">
      <c r="A774" s="1">
        <v>773</v>
      </c>
    </row>
    <row r="775" spans="1:1" x14ac:dyDescent="0.35">
      <c r="A775" s="1">
        <v>774</v>
      </c>
    </row>
    <row r="776" spans="1:1" x14ac:dyDescent="0.35">
      <c r="A776" s="1">
        <v>775</v>
      </c>
    </row>
    <row r="777" spans="1:1" x14ac:dyDescent="0.35">
      <c r="A777" s="1">
        <v>776</v>
      </c>
    </row>
    <row r="778" spans="1:1" x14ac:dyDescent="0.35">
      <c r="A778" s="1">
        <v>777</v>
      </c>
    </row>
    <row r="779" spans="1:1" x14ac:dyDescent="0.35">
      <c r="A779" s="1">
        <v>778</v>
      </c>
    </row>
    <row r="780" spans="1:1" x14ac:dyDescent="0.35">
      <c r="A780" s="1">
        <v>779</v>
      </c>
    </row>
    <row r="781" spans="1:1" x14ac:dyDescent="0.35">
      <c r="A781" s="1">
        <v>780</v>
      </c>
    </row>
    <row r="782" spans="1:1" x14ac:dyDescent="0.35">
      <c r="A782" s="1">
        <v>781</v>
      </c>
    </row>
    <row r="783" spans="1:1" x14ac:dyDescent="0.35">
      <c r="A783" s="1">
        <v>782</v>
      </c>
    </row>
    <row r="784" spans="1:1" x14ac:dyDescent="0.35">
      <c r="A784" s="1">
        <v>783</v>
      </c>
    </row>
    <row r="785" spans="1:1" x14ac:dyDescent="0.35">
      <c r="A785" s="1">
        <v>784</v>
      </c>
    </row>
    <row r="786" spans="1:1" x14ac:dyDescent="0.35">
      <c r="A786" s="1">
        <v>785</v>
      </c>
    </row>
    <row r="787" spans="1:1" x14ac:dyDescent="0.35">
      <c r="A787" s="1">
        <v>786</v>
      </c>
    </row>
    <row r="788" spans="1:1" x14ac:dyDescent="0.35">
      <c r="A788" s="1">
        <v>787</v>
      </c>
    </row>
    <row r="789" spans="1:1" x14ac:dyDescent="0.35">
      <c r="A789" s="1">
        <v>788</v>
      </c>
    </row>
    <row r="790" spans="1:1" x14ac:dyDescent="0.35">
      <c r="A790" s="1">
        <v>789</v>
      </c>
    </row>
    <row r="791" spans="1:1" x14ac:dyDescent="0.35">
      <c r="A791" s="1">
        <v>790</v>
      </c>
    </row>
    <row r="792" spans="1:1" x14ac:dyDescent="0.35">
      <c r="A792" s="1">
        <v>791</v>
      </c>
    </row>
    <row r="793" spans="1:1" x14ac:dyDescent="0.35">
      <c r="A793" s="1">
        <v>792</v>
      </c>
    </row>
    <row r="794" spans="1:1" x14ac:dyDescent="0.35">
      <c r="A794" s="1">
        <v>793</v>
      </c>
    </row>
    <row r="795" spans="1:1" x14ac:dyDescent="0.35">
      <c r="A795" s="1">
        <v>794</v>
      </c>
    </row>
    <row r="796" spans="1:1" x14ac:dyDescent="0.35">
      <c r="A796" s="1">
        <v>795</v>
      </c>
    </row>
    <row r="797" spans="1:1" x14ac:dyDescent="0.35">
      <c r="A797" s="1">
        <v>796</v>
      </c>
    </row>
    <row r="798" spans="1:1" x14ac:dyDescent="0.35">
      <c r="A798" s="1">
        <v>797</v>
      </c>
    </row>
    <row r="799" spans="1:1" x14ac:dyDescent="0.35">
      <c r="A799" s="1">
        <v>798</v>
      </c>
    </row>
    <row r="800" spans="1:1" x14ac:dyDescent="0.35">
      <c r="A800" s="1">
        <v>799</v>
      </c>
    </row>
    <row r="801" spans="1:1" x14ac:dyDescent="0.35">
      <c r="A801" s="1">
        <v>800</v>
      </c>
    </row>
    <row r="802" spans="1:1" x14ac:dyDescent="0.35">
      <c r="A802" s="1">
        <v>801</v>
      </c>
    </row>
    <row r="803" spans="1:1" x14ac:dyDescent="0.35">
      <c r="A803" s="1">
        <v>802</v>
      </c>
    </row>
    <row r="804" spans="1:1" x14ac:dyDescent="0.35">
      <c r="A804" s="1">
        <v>803</v>
      </c>
    </row>
    <row r="805" spans="1:1" x14ac:dyDescent="0.35">
      <c r="A805" s="1">
        <v>804</v>
      </c>
    </row>
    <row r="806" spans="1:1" x14ac:dyDescent="0.35">
      <c r="A806" s="1">
        <v>805</v>
      </c>
    </row>
    <row r="807" spans="1:1" x14ac:dyDescent="0.35">
      <c r="A807" s="1">
        <v>806</v>
      </c>
    </row>
    <row r="808" spans="1:1" x14ac:dyDescent="0.35">
      <c r="A808" s="1">
        <v>807</v>
      </c>
    </row>
    <row r="809" spans="1:1" x14ac:dyDescent="0.35">
      <c r="A809" s="1">
        <v>808</v>
      </c>
    </row>
    <row r="810" spans="1:1" x14ac:dyDescent="0.35">
      <c r="A810" s="1">
        <v>809</v>
      </c>
    </row>
    <row r="811" spans="1:1" x14ac:dyDescent="0.35">
      <c r="A811" s="1">
        <v>810</v>
      </c>
    </row>
    <row r="812" spans="1:1" x14ac:dyDescent="0.35">
      <c r="A812" s="1">
        <v>811</v>
      </c>
    </row>
    <row r="813" spans="1:1" x14ac:dyDescent="0.35">
      <c r="A813" s="1">
        <v>812</v>
      </c>
    </row>
    <row r="814" spans="1:1" x14ac:dyDescent="0.35">
      <c r="A814" s="1">
        <v>813</v>
      </c>
    </row>
    <row r="815" spans="1:1" x14ac:dyDescent="0.35">
      <c r="A815" s="1">
        <v>814</v>
      </c>
    </row>
    <row r="816" spans="1:1" x14ac:dyDescent="0.35">
      <c r="A816" s="1">
        <v>815</v>
      </c>
    </row>
    <row r="817" spans="1:1" x14ac:dyDescent="0.35">
      <c r="A817" s="1">
        <v>816</v>
      </c>
    </row>
    <row r="818" spans="1:1" x14ac:dyDescent="0.35">
      <c r="A818" s="1">
        <v>817</v>
      </c>
    </row>
    <row r="819" spans="1:1" x14ac:dyDescent="0.35">
      <c r="A819" s="1">
        <v>818</v>
      </c>
    </row>
    <row r="820" spans="1:1" x14ac:dyDescent="0.35">
      <c r="A820" s="1">
        <v>819</v>
      </c>
    </row>
    <row r="821" spans="1:1" x14ac:dyDescent="0.35">
      <c r="A821" s="1">
        <v>820</v>
      </c>
    </row>
    <row r="822" spans="1:1" x14ac:dyDescent="0.35">
      <c r="A822" s="1">
        <v>821</v>
      </c>
    </row>
    <row r="823" spans="1:1" x14ac:dyDescent="0.35">
      <c r="A823" s="1">
        <v>822</v>
      </c>
    </row>
    <row r="824" spans="1:1" x14ac:dyDescent="0.35">
      <c r="A824" s="1">
        <v>823</v>
      </c>
    </row>
    <row r="825" spans="1:1" x14ac:dyDescent="0.35">
      <c r="A825" s="1">
        <v>824</v>
      </c>
    </row>
    <row r="826" spans="1:1" x14ac:dyDescent="0.35">
      <c r="A826" s="1">
        <v>825</v>
      </c>
    </row>
    <row r="827" spans="1:1" x14ac:dyDescent="0.35">
      <c r="A827" s="1">
        <v>826</v>
      </c>
    </row>
    <row r="828" spans="1:1" x14ac:dyDescent="0.35">
      <c r="A828" s="1">
        <v>827</v>
      </c>
    </row>
    <row r="829" spans="1:1" x14ac:dyDescent="0.35">
      <c r="A829" s="1">
        <v>828</v>
      </c>
    </row>
    <row r="830" spans="1:1" x14ac:dyDescent="0.35">
      <c r="A830" s="1">
        <v>829</v>
      </c>
    </row>
    <row r="831" spans="1:1" x14ac:dyDescent="0.35">
      <c r="A831" s="1">
        <v>830</v>
      </c>
    </row>
    <row r="832" spans="1:1" x14ac:dyDescent="0.35">
      <c r="A832" s="1">
        <v>831</v>
      </c>
    </row>
    <row r="833" spans="1:1" x14ac:dyDescent="0.35">
      <c r="A833" s="1">
        <v>832</v>
      </c>
    </row>
    <row r="834" spans="1:1" x14ac:dyDescent="0.35">
      <c r="A834" s="1">
        <v>833</v>
      </c>
    </row>
    <row r="835" spans="1:1" x14ac:dyDescent="0.35">
      <c r="A835" s="1">
        <v>834</v>
      </c>
    </row>
    <row r="836" spans="1:1" x14ac:dyDescent="0.35">
      <c r="A836" s="1">
        <v>835</v>
      </c>
    </row>
    <row r="837" spans="1:1" x14ac:dyDescent="0.35">
      <c r="A837" s="1">
        <v>836</v>
      </c>
    </row>
    <row r="838" spans="1:1" x14ac:dyDescent="0.35">
      <c r="A838" s="1">
        <v>837</v>
      </c>
    </row>
    <row r="839" spans="1:1" x14ac:dyDescent="0.35">
      <c r="A839" s="1">
        <v>838</v>
      </c>
    </row>
    <row r="840" spans="1:1" x14ac:dyDescent="0.35">
      <c r="A840" s="1">
        <v>839</v>
      </c>
    </row>
    <row r="841" spans="1:1" x14ac:dyDescent="0.35">
      <c r="A841" s="1">
        <v>840</v>
      </c>
    </row>
    <row r="842" spans="1:1" x14ac:dyDescent="0.35">
      <c r="A842" s="1">
        <v>841</v>
      </c>
    </row>
    <row r="843" spans="1:1" x14ac:dyDescent="0.35">
      <c r="A843" s="1">
        <v>842</v>
      </c>
    </row>
    <row r="844" spans="1:1" x14ac:dyDescent="0.35">
      <c r="A844" s="1">
        <v>843</v>
      </c>
    </row>
    <row r="845" spans="1:1" x14ac:dyDescent="0.35">
      <c r="A845" s="1">
        <v>844</v>
      </c>
    </row>
    <row r="846" spans="1:1" x14ac:dyDescent="0.35">
      <c r="A846" s="1">
        <v>845</v>
      </c>
    </row>
    <row r="847" spans="1:1" x14ac:dyDescent="0.35">
      <c r="A847" s="1">
        <v>846</v>
      </c>
    </row>
    <row r="848" spans="1:1" x14ac:dyDescent="0.35">
      <c r="A848" s="1">
        <v>847</v>
      </c>
    </row>
    <row r="849" spans="1:1" x14ac:dyDescent="0.35">
      <c r="A849" s="1">
        <v>848</v>
      </c>
    </row>
    <row r="850" spans="1:1" x14ac:dyDescent="0.35">
      <c r="A850" s="1">
        <v>849</v>
      </c>
    </row>
    <row r="851" spans="1:1" x14ac:dyDescent="0.35">
      <c r="A851" s="1">
        <v>850</v>
      </c>
    </row>
    <row r="852" spans="1:1" x14ac:dyDescent="0.35">
      <c r="A852" s="1">
        <v>851</v>
      </c>
    </row>
    <row r="853" spans="1:1" x14ac:dyDescent="0.35">
      <c r="A853" s="1">
        <v>852</v>
      </c>
    </row>
    <row r="854" spans="1:1" x14ac:dyDescent="0.35">
      <c r="A854" s="1">
        <v>853</v>
      </c>
    </row>
    <row r="855" spans="1:1" x14ac:dyDescent="0.35">
      <c r="A855" s="1">
        <v>854</v>
      </c>
    </row>
    <row r="856" spans="1:1" x14ac:dyDescent="0.35">
      <c r="A856" s="1">
        <v>855</v>
      </c>
    </row>
    <row r="857" spans="1:1" x14ac:dyDescent="0.35">
      <c r="A857" s="1">
        <v>856</v>
      </c>
    </row>
    <row r="858" spans="1:1" x14ac:dyDescent="0.35">
      <c r="A858" s="1">
        <v>857</v>
      </c>
    </row>
    <row r="859" spans="1:1" x14ac:dyDescent="0.35">
      <c r="A859" s="1">
        <v>858</v>
      </c>
    </row>
    <row r="860" spans="1:1" x14ac:dyDescent="0.35">
      <c r="A860" s="1">
        <v>859</v>
      </c>
    </row>
    <row r="861" spans="1:1" x14ac:dyDescent="0.35">
      <c r="A861" s="1">
        <v>860</v>
      </c>
    </row>
    <row r="862" spans="1:1" x14ac:dyDescent="0.35">
      <c r="A862" s="1">
        <v>861</v>
      </c>
    </row>
    <row r="863" spans="1:1" x14ac:dyDescent="0.35">
      <c r="A863" s="1">
        <v>862</v>
      </c>
    </row>
    <row r="864" spans="1:1" x14ac:dyDescent="0.35">
      <c r="A864" s="1">
        <v>863</v>
      </c>
    </row>
    <row r="865" spans="1:1" x14ac:dyDescent="0.35">
      <c r="A865" s="1">
        <v>864</v>
      </c>
    </row>
    <row r="866" spans="1:1" x14ac:dyDescent="0.35">
      <c r="A866" s="1">
        <v>865</v>
      </c>
    </row>
    <row r="867" spans="1:1" x14ac:dyDescent="0.35">
      <c r="A867" s="1">
        <v>866</v>
      </c>
    </row>
    <row r="868" spans="1:1" x14ac:dyDescent="0.35">
      <c r="A868" s="1">
        <v>867</v>
      </c>
    </row>
    <row r="869" spans="1:1" x14ac:dyDescent="0.35">
      <c r="A869" s="1">
        <v>868</v>
      </c>
    </row>
    <row r="870" spans="1:1" x14ac:dyDescent="0.35">
      <c r="A870" s="1">
        <v>869</v>
      </c>
    </row>
    <row r="871" spans="1:1" x14ac:dyDescent="0.35">
      <c r="A871" s="1">
        <v>870</v>
      </c>
    </row>
    <row r="872" spans="1:1" x14ac:dyDescent="0.35">
      <c r="A872" s="1">
        <v>871</v>
      </c>
    </row>
    <row r="873" spans="1:1" x14ac:dyDescent="0.35">
      <c r="A873" s="1">
        <v>872</v>
      </c>
    </row>
    <row r="874" spans="1:1" x14ac:dyDescent="0.35">
      <c r="A874" s="1">
        <v>873</v>
      </c>
    </row>
    <row r="875" spans="1:1" x14ac:dyDescent="0.35">
      <c r="A875" s="1">
        <v>874</v>
      </c>
    </row>
    <row r="876" spans="1:1" x14ac:dyDescent="0.35">
      <c r="A876" s="1">
        <v>875</v>
      </c>
    </row>
    <row r="877" spans="1:1" x14ac:dyDescent="0.35">
      <c r="A877" s="1">
        <v>876</v>
      </c>
    </row>
    <row r="878" spans="1:1" x14ac:dyDescent="0.35">
      <c r="A878" s="1">
        <v>877</v>
      </c>
    </row>
    <row r="879" spans="1:1" x14ac:dyDescent="0.35">
      <c r="A879" s="1">
        <v>878</v>
      </c>
    </row>
    <row r="880" spans="1:1" x14ac:dyDescent="0.35">
      <c r="A880" s="1">
        <v>879</v>
      </c>
    </row>
    <row r="881" spans="1:1" x14ac:dyDescent="0.35">
      <c r="A881" s="1">
        <v>880</v>
      </c>
    </row>
    <row r="882" spans="1:1" x14ac:dyDescent="0.35">
      <c r="A882" s="1">
        <v>881</v>
      </c>
    </row>
    <row r="883" spans="1:1" x14ac:dyDescent="0.35">
      <c r="A883" s="1">
        <v>882</v>
      </c>
    </row>
    <row r="884" spans="1:1" x14ac:dyDescent="0.35">
      <c r="A884" s="1">
        <v>883</v>
      </c>
    </row>
    <row r="885" spans="1:1" x14ac:dyDescent="0.35">
      <c r="A885" s="1">
        <v>884</v>
      </c>
    </row>
    <row r="886" spans="1:1" x14ac:dyDescent="0.35">
      <c r="A886" s="1">
        <v>885</v>
      </c>
    </row>
    <row r="887" spans="1:1" x14ac:dyDescent="0.35">
      <c r="A887" s="1">
        <v>886</v>
      </c>
    </row>
    <row r="888" spans="1:1" x14ac:dyDescent="0.35">
      <c r="A888" s="1">
        <v>887</v>
      </c>
    </row>
    <row r="889" spans="1:1" x14ac:dyDescent="0.35">
      <c r="A889" s="1">
        <v>888</v>
      </c>
    </row>
    <row r="890" spans="1:1" x14ac:dyDescent="0.35">
      <c r="A890" s="1">
        <v>889</v>
      </c>
    </row>
    <row r="891" spans="1:1" x14ac:dyDescent="0.35">
      <c r="A891" s="1">
        <v>890</v>
      </c>
    </row>
    <row r="892" spans="1:1" x14ac:dyDescent="0.35">
      <c r="A892" s="1">
        <v>891</v>
      </c>
    </row>
    <row r="893" spans="1:1" x14ac:dyDescent="0.35">
      <c r="A893" s="1">
        <v>892</v>
      </c>
    </row>
    <row r="894" spans="1:1" x14ac:dyDescent="0.35">
      <c r="A894" s="1">
        <v>893</v>
      </c>
    </row>
    <row r="895" spans="1:1" x14ac:dyDescent="0.35">
      <c r="A895" s="1">
        <v>894</v>
      </c>
    </row>
    <row r="896" spans="1:1" x14ac:dyDescent="0.35">
      <c r="A896" s="1">
        <v>895</v>
      </c>
    </row>
    <row r="897" spans="1:1" x14ac:dyDescent="0.35">
      <c r="A897" s="1">
        <v>896</v>
      </c>
    </row>
    <row r="898" spans="1:1" x14ac:dyDescent="0.35">
      <c r="A898" s="1">
        <v>897</v>
      </c>
    </row>
    <row r="899" spans="1:1" x14ac:dyDescent="0.35">
      <c r="A899" s="1">
        <v>898</v>
      </c>
    </row>
    <row r="900" spans="1:1" x14ac:dyDescent="0.35">
      <c r="A900" s="1">
        <v>899</v>
      </c>
    </row>
    <row r="901" spans="1:1" x14ac:dyDescent="0.35">
      <c r="A901" s="1">
        <v>900</v>
      </c>
    </row>
    <row r="902" spans="1:1" x14ac:dyDescent="0.35">
      <c r="A902" s="1">
        <v>901</v>
      </c>
    </row>
    <row r="903" spans="1:1" x14ac:dyDescent="0.35">
      <c r="A903" s="1">
        <v>902</v>
      </c>
    </row>
    <row r="904" spans="1:1" x14ac:dyDescent="0.35">
      <c r="A904" s="1">
        <v>903</v>
      </c>
    </row>
    <row r="905" spans="1:1" x14ac:dyDescent="0.35">
      <c r="A905" s="1">
        <v>904</v>
      </c>
    </row>
    <row r="906" spans="1:1" x14ac:dyDescent="0.35">
      <c r="A906" s="1">
        <v>905</v>
      </c>
    </row>
    <row r="907" spans="1:1" x14ac:dyDescent="0.35">
      <c r="A907" s="1">
        <v>906</v>
      </c>
    </row>
    <row r="908" spans="1:1" x14ac:dyDescent="0.35">
      <c r="A908" s="1">
        <v>907</v>
      </c>
    </row>
    <row r="909" spans="1:1" x14ac:dyDescent="0.35">
      <c r="A909" s="1">
        <v>908</v>
      </c>
    </row>
    <row r="910" spans="1:1" x14ac:dyDescent="0.35">
      <c r="A910" s="1">
        <v>909</v>
      </c>
    </row>
    <row r="911" spans="1:1" x14ac:dyDescent="0.35">
      <c r="A911" s="1">
        <v>910</v>
      </c>
    </row>
    <row r="912" spans="1:1" x14ac:dyDescent="0.35">
      <c r="A912" s="1">
        <v>911</v>
      </c>
    </row>
    <row r="913" spans="1:1" x14ac:dyDescent="0.35">
      <c r="A913" s="1">
        <v>912</v>
      </c>
    </row>
    <row r="914" spans="1:1" x14ac:dyDescent="0.35">
      <c r="A914" s="1">
        <v>913</v>
      </c>
    </row>
    <row r="915" spans="1:1" x14ac:dyDescent="0.35">
      <c r="A915" s="1">
        <v>914</v>
      </c>
    </row>
    <row r="916" spans="1:1" x14ac:dyDescent="0.35">
      <c r="A916" s="1">
        <v>915</v>
      </c>
    </row>
    <row r="917" spans="1:1" x14ac:dyDescent="0.35">
      <c r="A917" s="1">
        <v>916</v>
      </c>
    </row>
    <row r="918" spans="1:1" x14ac:dyDescent="0.35">
      <c r="A918" s="1">
        <v>917</v>
      </c>
    </row>
    <row r="919" spans="1:1" x14ac:dyDescent="0.35">
      <c r="A919" s="1">
        <v>918</v>
      </c>
    </row>
    <row r="920" spans="1:1" x14ac:dyDescent="0.35">
      <c r="A920" s="1">
        <v>919</v>
      </c>
    </row>
    <row r="921" spans="1:1" x14ac:dyDescent="0.35">
      <c r="A921" s="1">
        <v>920</v>
      </c>
    </row>
    <row r="922" spans="1:1" x14ac:dyDescent="0.35">
      <c r="A922" s="1">
        <v>921</v>
      </c>
    </row>
    <row r="923" spans="1:1" x14ac:dyDescent="0.35">
      <c r="A923" s="1">
        <v>922</v>
      </c>
    </row>
    <row r="924" spans="1:1" x14ac:dyDescent="0.35">
      <c r="A924" s="1">
        <v>923</v>
      </c>
    </row>
    <row r="925" spans="1:1" x14ac:dyDescent="0.35">
      <c r="A925" s="1">
        <v>924</v>
      </c>
    </row>
    <row r="926" spans="1:1" x14ac:dyDescent="0.35">
      <c r="A926" s="1">
        <v>925</v>
      </c>
    </row>
    <row r="927" spans="1:1" x14ac:dyDescent="0.35">
      <c r="A927" s="1">
        <v>926</v>
      </c>
    </row>
    <row r="928" spans="1:1" x14ac:dyDescent="0.35">
      <c r="A928" s="1">
        <v>927</v>
      </c>
    </row>
    <row r="929" spans="1:1" x14ac:dyDescent="0.35">
      <c r="A929" s="1">
        <v>928</v>
      </c>
    </row>
    <row r="930" spans="1:1" x14ac:dyDescent="0.35">
      <c r="A930" s="1">
        <v>929</v>
      </c>
    </row>
    <row r="931" spans="1:1" x14ac:dyDescent="0.35">
      <c r="A931" s="1">
        <v>930</v>
      </c>
    </row>
    <row r="932" spans="1:1" x14ac:dyDescent="0.35">
      <c r="A932" s="1">
        <v>931</v>
      </c>
    </row>
    <row r="933" spans="1:1" x14ac:dyDescent="0.35">
      <c r="A933" s="1">
        <v>932</v>
      </c>
    </row>
    <row r="934" spans="1:1" x14ac:dyDescent="0.35">
      <c r="A934" s="1">
        <v>933</v>
      </c>
    </row>
    <row r="935" spans="1:1" x14ac:dyDescent="0.35">
      <c r="A935" s="1">
        <v>934</v>
      </c>
    </row>
    <row r="936" spans="1:1" x14ac:dyDescent="0.35">
      <c r="A936" s="1">
        <v>935</v>
      </c>
    </row>
    <row r="937" spans="1:1" x14ac:dyDescent="0.35">
      <c r="A937" s="1">
        <v>936</v>
      </c>
    </row>
    <row r="938" spans="1:1" x14ac:dyDescent="0.35">
      <c r="A938" s="1">
        <v>937</v>
      </c>
    </row>
    <row r="939" spans="1:1" x14ac:dyDescent="0.35">
      <c r="A939" s="1">
        <v>938</v>
      </c>
    </row>
    <row r="940" spans="1:1" x14ac:dyDescent="0.35">
      <c r="A940" s="1">
        <v>939</v>
      </c>
    </row>
    <row r="941" spans="1:1" x14ac:dyDescent="0.35">
      <c r="A941" s="1">
        <v>940</v>
      </c>
    </row>
    <row r="942" spans="1:1" x14ac:dyDescent="0.35">
      <c r="A942" s="1">
        <v>941</v>
      </c>
    </row>
    <row r="943" spans="1:1" x14ac:dyDescent="0.35">
      <c r="A943" s="1">
        <v>942</v>
      </c>
    </row>
    <row r="944" spans="1:1" x14ac:dyDescent="0.35">
      <c r="A944" s="1">
        <v>943</v>
      </c>
    </row>
    <row r="945" spans="1:1" x14ac:dyDescent="0.35">
      <c r="A945" s="1">
        <v>944</v>
      </c>
    </row>
    <row r="946" spans="1:1" x14ac:dyDescent="0.35">
      <c r="A946" s="1">
        <v>945</v>
      </c>
    </row>
    <row r="947" spans="1:1" x14ac:dyDescent="0.35">
      <c r="A947" s="1">
        <v>946</v>
      </c>
    </row>
    <row r="948" spans="1:1" x14ac:dyDescent="0.35">
      <c r="A948" s="1">
        <v>947</v>
      </c>
    </row>
    <row r="949" spans="1:1" x14ac:dyDescent="0.35">
      <c r="A949" s="1">
        <v>948</v>
      </c>
    </row>
    <row r="950" spans="1:1" x14ac:dyDescent="0.35">
      <c r="A950" s="1">
        <v>949</v>
      </c>
    </row>
    <row r="951" spans="1:1" x14ac:dyDescent="0.35">
      <c r="A951" s="1">
        <v>950</v>
      </c>
    </row>
    <row r="952" spans="1:1" x14ac:dyDescent="0.35">
      <c r="A952" s="1">
        <v>951</v>
      </c>
    </row>
    <row r="953" spans="1:1" x14ac:dyDescent="0.35">
      <c r="A953" s="1">
        <v>952</v>
      </c>
    </row>
    <row r="954" spans="1:1" x14ac:dyDescent="0.35">
      <c r="A954" s="1">
        <v>953</v>
      </c>
    </row>
    <row r="955" spans="1:1" x14ac:dyDescent="0.35">
      <c r="A955" s="1">
        <v>954</v>
      </c>
    </row>
    <row r="956" spans="1:1" x14ac:dyDescent="0.35">
      <c r="A956" s="1">
        <v>955</v>
      </c>
    </row>
    <row r="957" spans="1:1" x14ac:dyDescent="0.35">
      <c r="A957" s="1">
        <v>956</v>
      </c>
    </row>
    <row r="958" spans="1:1" x14ac:dyDescent="0.35">
      <c r="A958" s="1">
        <v>957</v>
      </c>
    </row>
    <row r="959" spans="1:1" x14ac:dyDescent="0.35">
      <c r="A959" s="1">
        <v>958</v>
      </c>
    </row>
    <row r="960" spans="1:1" x14ac:dyDescent="0.35">
      <c r="A960" s="1">
        <v>959</v>
      </c>
    </row>
    <row r="961" spans="1:1" x14ac:dyDescent="0.35">
      <c r="A961" s="1">
        <v>960</v>
      </c>
    </row>
    <row r="962" spans="1:1" x14ac:dyDescent="0.35">
      <c r="A962" s="1">
        <v>961</v>
      </c>
    </row>
    <row r="963" spans="1:1" x14ac:dyDescent="0.35">
      <c r="A963" s="1">
        <v>962</v>
      </c>
    </row>
    <row r="964" spans="1:1" x14ac:dyDescent="0.35">
      <c r="A964" s="1">
        <v>963</v>
      </c>
    </row>
    <row r="965" spans="1:1" x14ac:dyDescent="0.35">
      <c r="A965" s="1">
        <v>964</v>
      </c>
    </row>
    <row r="966" spans="1:1" x14ac:dyDescent="0.35">
      <c r="A966" s="1">
        <v>965</v>
      </c>
    </row>
    <row r="967" spans="1:1" x14ac:dyDescent="0.35">
      <c r="A967" s="1">
        <v>966</v>
      </c>
    </row>
    <row r="968" spans="1:1" x14ac:dyDescent="0.35">
      <c r="A968" s="1">
        <v>967</v>
      </c>
    </row>
    <row r="969" spans="1:1" x14ac:dyDescent="0.35">
      <c r="A969" s="1">
        <v>968</v>
      </c>
    </row>
    <row r="970" spans="1:1" x14ac:dyDescent="0.35">
      <c r="A970" s="1">
        <v>969</v>
      </c>
    </row>
    <row r="971" spans="1:1" x14ac:dyDescent="0.35">
      <c r="A971" s="1">
        <v>970</v>
      </c>
    </row>
    <row r="972" spans="1:1" x14ac:dyDescent="0.35">
      <c r="A972" s="1">
        <v>971</v>
      </c>
    </row>
    <row r="973" spans="1:1" x14ac:dyDescent="0.35">
      <c r="A973" s="1">
        <v>972</v>
      </c>
    </row>
    <row r="974" spans="1:1" x14ac:dyDescent="0.35">
      <c r="A974" s="1">
        <v>973</v>
      </c>
    </row>
    <row r="975" spans="1:1" x14ac:dyDescent="0.35">
      <c r="A975" s="1">
        <v>974</v>
      </c>
    </row>
    <row r="976" spans="1:1" x14ac:dyDescent="0.35">
      <c r="A976" s="1">
        <v>975</v>
      </c>
    </row>
    <row r="977" spans="1:1" x14ac:dyDescent="0.35">
      <c r="A977" s="1">
        <v>976</v>
      </c>
    </row>
    <row r="978" spans="1:1" x14ac:dyDescent="0.35">
      <c r="A978" s="1">
        <v>977</v>
      </c>
    </row>
    <row r="979" spans="1:1" x14ac:dyDescent="0.35">
      <c r="A979" s="1">
        <v>978</v>
      </c>
    </row>
    <row r="980" spans="1:1" x14ac:dyDescent="0.35">
      <c r="A980" s="1">
        <v>979</v>
      </c>
    </row>
    <row r="981" spans="1:1" x14ac:dyDescent="0.35">
      <c r="A981" s="1">
        <v>980</v>
      </c>
    </row>
    <row r="982" spans="1:1" x14ac:dyDescent="0.35">
      <c r="A982" s="1">
        <v>981</v>
      </c>
    </row>
    <row r="983" spans="1:1" x14ac:dyDescent="0.35">
      <c r="A983" s="1">
        <v>982</v>
      </c>
    </row>
    <row r="984" spans="1:1" x14ac:dyDescent="0.35">
      <c r="A984" s="1">
        <v>983</v>
      </c>
    </row>
    <row r="985" spans="1:1" x14ac:dyDescent="0.35">
      <c r="A985" s="1">
        <v>984</v>
      </c>
    </row>
    <row r="986" spans="1:1" x14ac:dyDescent="0.35">
      <c r="A986" s="1">
        <v>985</v>
      </c>
    </row>
    <row r="987" spans="1:1" x14ac:dyDescent="0.35">
      <c r="A987" s="1">
        <v>986</v>
      </c>
    </row>
    <row r="988" spans="1:1" x14ac:dyDescent="0.35">
      <c r="A988" s="1">
        <v>987</v>
      </c>
    </row>
    <row r="989" spans="1:1" x14ac:dyDescent="0.35">
      <c r="A989" s="1">
        <v>988</v>
      </c>
    </row>
    <row r="990" spans="1:1" x14ac:dyDescent="0.35">
      <c r="A990" s="1">
        <v>989</v>
      </c>
    </row>
    <row r="991" spans="1:1" x14ac:dyDescent="0.35">
      <c r="A991" s="1">
        <v>990</v>
      </c>
    </row>
    <row r="992" spans="1:1" x14ac:dyDescent="0.35">
      <c r="A992" s="1">
        <v>991</v>
      </c>
    </row>
    <row r="993" spans="1:1" x14ac:dyDescent="0.35">
      <c r="A993" s="1">
        <v>992</v>
      </c>
    </row>
    <row r="994" spans="1:1" x14ac:dyDescent="0.35">
      <c r="A994" s="1">
        <v>993</v>
      </c>
    </row>
    <row r="995" spans="1:1" x14ac:dyDescent="0.35">
      <c r="A995" s="1">
        <v>994</v>
      </c>
    </row>
    <row r="996" spans="1:1" x14ac:dyDescent="0.35">
      <c r="A996" s="1">
        <v>995</v>
      </c>
    </row>
    <row r="997" spans="1:1" x14ac:dyDescent="0.35">
      <c r="A997" s="1">
        <v>996</v>
      </c>
    </row>
    <row r="998" spans="1:1" x14ac:dyDescent="0.35">
      <c r="A998" s="1">
        <v>997</v>
      </c>
    </row>
    <row r="999" spans="1:1" x14ac:dyDescent="0.35">
      <c r="A999" s="1">
        <v>998</v>
      </c>
    </row>
    <row r="1000" spans="1:1" x14ac:dyDescent="0.35">
      <c r="A1000" s="1">
        <v>999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5DEED-9136-42B9-8776-AE8AB264DE65}">
  <sheetPr codeName="Planilha6">
    <tabColor theme="8" tint="0.39997558519241921"/>
  </sheetPr>
  <dimension ref="A1:H501"/>
  <sheetViews>
    <sheetView showGridLines="0" topLeftCell="C1" workbookViewId="0">
      <pane ySplit="1" topLeftCell="A2" activePane="bottomLeft" state="frozen"/>
      <selection pane="bottomLeft" activeCell="K9" sqref="K9"/>
    </sheetView>
  </sheetViews>
  <sheetFormatPr defaultRowHeight="14.5" x14ac:dyDescent="0.35"/>
  <cols>
    <col min="1" max="1" width="24.453125" style="1" customWidth="1"/>
    <col min="2" max="2" width="33.54296875" style="1" customWidth="1"/>
    <col min="3" max="3" width="19.54296875" style="29" customWidth="1"/>
    <col min="4" max="4" width="24.81640625" style="39" customWidth="1"/>
    <col min="5" max="5" width="33.54296875" style="3" customWidth="1"/>
    <col min="6" max="6" width="33.54296875" style="1" customWidth="1"/>
    <col min="7" max="7" width="19" bestFit="1" customWidth="1"/>
    <col min="8" max="8" width="20.7265625" bestFit="1" customWidth="1"/>
  </cols>
  <sheetData>
    <row r="1" spans="1:8" x14ac:dyDescent="0.35">
      <c r="A1" s="24" t="s">
        <v>4</v>
      </c>
      <c r="B1" s="24" t="s">
        <v>9</v>
      </c>
      <c r="C1" s="28" t="s">
        <v>14</v>
      </c>
      <c r="D1" s="38" t="s">
        <v>34</v>
      </c>
      <c r="E1" s="25" t="s">
        <v>35</v>
      </c>
      <c r="F1" s="24" t="s">
        <v>16</v>
      </c>
      <c r="G1" s="37" t="s">
        <v>59</v>
      </c>
      <c r="H1" s="37" t="s">
        <v>60</v>
      </c>
    </row>
    <row r="2" spans="1:8" x14ac:dyDescent="0.35">
      <c r="A2" s="1">
        <v>1</v>
      </c>
      <c r="B2" s="1" t="s">
        <v>48</v>
      </c>
      <c r="C2" s="29">
        <v>50</v>
      </c>
      <c r="D2" s="39">
        <v>30</v>
      </c>
      <c r="E2" s="3" t="s">
        <v>49</v>
      </c>
      <c r="F2" s="6">
        <f>SUMIFS(BDMovEstoque!C:C,BDMovEstoque!A:A,Tabela3[[#This Row],[Código]],BDMovEstoque!G:G,"Entrada")-SUMIFS(BDMovEstoque!C:C,BDMovEstoque!A:A,Tabela3[[#This Row],[Código]],BDMovEstoque!G:G,"Saída")</f>
        <v>80</v>
      </c>
      <c r="G2" t="str">
        <f>IF(Tabela3[[#This Row],[Saldo Estoque]]&lt;Tabela3[[#This Row],[Estoque Mínimo]],"Sim","")</f>
        <v/>
      </c>
      <c r="H2" s="33">
        <f>Tabela3[[#This Row],[Saldo Estoque]]*Tabela3[[#This Row],[Valor]]</f>
        <v>4000</v>
      </c>
    </row>
    <row r="3" spans="1:8" x14ac:dyDescent="0.35">
      <c r="A3" s="1">
        <v>2</v>
      </c>
      <c r="B3" s="1" t="s">
        <v>50</v>
      </c>
      <c r="C3" s="29">
        <v>10</v>
      </c>
      <c r="D3" s="39">
        <v>20</v>
      </c>
      <c r="E3" s="3" t="s">
        <v>49</v>
      </c>
      <c r="F3" s="6">
        <f>SUMIFS(BDMovEstoque!C:C,BDMovEstoque!A:A,Tabela3[[#This Row],[Código]],BDMovEstoque!G:G,"Entrada")-SUMIFS(BDMovEstoque!C:C,BDMovEstoque!A:A,Tabela3[[#This Row],[Código]],BDMovEstoque!G:G,"Saída")</f>
        <v>10</v>
      </c>
      <c r="G3" t="str">
        <f>IF(Tabela3[[#This Row],[Saldo Estoque]]&lt;Tabela3[[#This Row],[Estoque Mínimo]],"Sim","")</f>
        <v>Sim</v>
      </c>
      <c r="H3" s="33">
        <f>Tabela3[[#This Row],[Saldo Estoque]]*Tabela3[[#This Row],[Valor]]</f>
        <v>100</v>
      </c>
    </row>
    <row r="4" spans="1:8" x14ac:dyDescent="0.35">
      <c r="A4" s="1">
        <v>3</v>
      </c>
      <c r="B4" s="1" t="s">
        <v>51</v>
      </c>
      <c r="C4" s="29">
        <v>15</v>
      </c>
      <c r="D4" s="39">
        <v>50</v>
      </c>
      <c r="E4" s="3" t="s">
        <v>49</v>
      </c>
      <c r="F4" s="6">
        <f>SUMIFS(BDMovEstoque!C:C,BDMovEstoque!A:A,Tabela3[[#This Row],[Código]],BDMovEstoque!G:G,"Entrada")-SUMIFS(BDMovEstoque!C:C,BDMovEstoque!A:A,Tabela3[[#This Row],[Código]],BDMovEstoque!G:G,"Saída")</f>
        <v>0</v>
      </c>
      <c r="G4" t="str">
        <f>IF(Tabela3[[#This Row],[Saldo Estoque]]&lt;Tabela3[[#This Row],[Estoque Mínimo]],"Sim","")</f>
        <v>Sim</v>
      </c>
      <c r="H4" s="33">
        <f>Tabela3[[#This Row],[Saldo Estoque]]*Tabela3[[#This Row],[Valor]]</f>
        <v>0</v>
      </c>
    </row>
    <row r="5" spans="1:8" x14ac:dyDescent="0.35">
      <c r="A5" s="1">
        <v>4</v>
      </c>
      <c r="B5" s="1" t="s">
        <v>52</v>
      </c>
      <c r="C5" s="29">
        <v>100</v>
      </c>
      <c r="D5" s="39">
        <v>5</v>
      </c>
      <c r="E5" s="3" t="s">
        <v>49</v>
      </c>
      <c r="F5" s="9">
        <f>SUMIFS(BDMovEstoque!C:C,BDMovEstoque!A:A,Tabela3[[#This Row],[Código]],BDMovEstoque!G:G,"Entrada")-SUMIFS(BDMovEstoque!C:C,BDMovEstoque!A:A,Tabela3[[#This Row],[Código]],BDMovEstoque!G:G,"Saída")</f>
        <v>0</v>
      </c>
      <c r="G5" t="str">
        <f>IF(Tabela3[[#This Row],[Saldo Estoque]]&lt;Tabela3[[#This Row],[Estoque Mínimo]],"Sim","")</f>
        <v>Sim</v>
      </c>
      <c r="H5" s="33">
        <f>Tabela3[[#This Row],[Saldo Estoque]]*Tabela3[[#This Row],[Valor]]</f>
        <v>0</v>
      </c>
    </row>
    <row r="6" spans="1:8" x14ac:dyDescent="0.35">
      <c r="A6" s="1">
        <v>5</v>
      </c>
      <c r="B6" s="1" t="s">
        <v>53</v>
      </c>
      <c r="C6" s="29">
        <v>30</v>
      </c>
      <c r="D6" s="39">
        <v>2</v>
      </c>
      <c r="E6" s="3" t="s">
        <v>49</v>
      </c>
      <c r="F6" s="9">
        <f>SUMIFS(BDMovEstoque!C:C,BDMovEstoque!A:A,Tabela3[[#This Row],[Código]],BDMovEstoque!G:G,"Entrada")-SUMIFS(BDMovEstoque!C:C,BDMovEstoque!A:A,Tabela3[[#This Row],[Código]],BDMovEstoque!G:G,"Saída")</f>
        <v>0</v>
      </c>
      <c r="G6" t="str">
        <f>IF(Tabela3[[#This Row],[Saldo Estoque]]&lt;Tabela3[[#This Row],[Estoque Mínimo]],"Sim","")</f>
        <v>Sim</v>
      </c>
      <c r="H6" s="33">
        <f>Tabela3[[#This Row],[Saldo Estoque]]*Tabela3[[#This Row],[Valor]]</f>
        <v>0</v>
      </c>
    </row>
    <row r="7" spans="1:8" x14ac:dyDescent="0.35">
      <c r="A7" s="1">
        <v>6</v>
      </c>
      <c r="B7" s="1" t="s">
        <v>54</v>
      </c>
      <c r="C7" s="29">
        <v>25</v>
      </c>
      <c r="D7" s="39">
        <v>2</v>
      </c>
      <c r="E7" s="3" t="s">
        <v>49</v>
      </c>
      <c r="F7" s="9">
        <f>SUMIFS(BDMovEstoque!C:C,BDMovEstoque!A:A,Tabela3[[#This Row],[Código]],BDMovEstoque!G:G,"Entrada")-SUMIFS(BDMovEstoque!C:C,BDMovEstoque!A:A,Tabela3[[#This Row],[Código]],BDMovEstoque!G:G,"Saída")</f>
        <v>0</v>
      </c>
      <c r="G7" t="str">
        <f>IF(Tabela3[[#This Row],[Saldo Estoque]]&lt;Tabela3[[#This Row],[Estoque Mínimo]],"Sim","")</f>
        <v>Sim</v>
      </c>
      <c r="H7" s="33">
        <f>Tabela3[[#This Row],[Saldo Estoque]]*Tabela3[[#This Row],[Valor]]</f>
        <v>0</v>
      </c>
    </row>
    <row r="8" spans="1:8" x14ac:dyDescent="0.35">
      <c r="A8" s="1">
        <v>7</v>
      </c>
      <c r="F8" s="9">
        <f>SUMIFS(BDMovEstoque!C:C,BDMovEstoque!A:A,Tabela3[[#This Row],[Código]],BDMovEstoque!G:G,"Entrada")-SUMIFS(BDMovEstoque!C:C,BDMovEstoque!A:A,Tabela3[[#This Row],[Código]],BDMovEstoque!G:G,"Saída")</f>
        <v>0</v>
      </c>
      <c r="G8" t="str">
        <f>IF(Tabela3[[#This Row],[Saldo Estoque]]&lt;Tabela3[[#This Row],[Estoque Mínimo]],"Sim","")</f>
        <v/>
      </c>
      <c r="H8" s="33">
        <f>Tabela3[[#This Row],[Saldo Estoque]]*Tabela3[[#This Row],[Valor]]</f>
        <v>0</v>
      </c>
    </row>
    <row r="9" spans="1:8" x14ac:dyDescent="0.35">
      <c r="A9" s="1">
        <v>8</v>
      </c>
      <c r="F9" s="9">
        <f>SUMIFS(BDMovEstoque!C:C,BDMovEstoque!A:A,Tabela3[[#This Row],[Código]],BDMovEstoque!G:G,"Entrada")-SUMIFS(BDMovEstoque!C:C,BDMovEstoque!A:A,Tabela3[[#This Row],[Código]],BDMovEstoque!G:G,"Saída")</f>
        <v>0</v>
      </c>
      <c r="G9" t="str">
        <f>IF(Tabela3[[#This Row],[Saldo Estoque]]&lt;Tabela3[[#This Row],[Estoque Mínimo]],"Sim","")</f>
        <v/>
      </c>
      <c r="H9" s="33">
        <f>Tabela3[[#This Row],[Saldo Estoque]]*Tabela3[[#This Row],[Valor]]</f>
        <v>0</v>
      </c>
    </row>
    <row r="10" spans="1:8" x14ac:dyDescent="0.35">
      <c r="A10" s="1">
        <v>9</v>
      </c>
      <c r="C10" s="2"/>
      <c r="F10" s="9">
        <f>SUMIFS(BDMovEstoque!C:C,BDMovEstoque!A:A,Tabela3[[#This Row],[Código]],BDMovEstoque!G:G,"Entrada")-SUMIFS(BDMovEstoque!C:C,BDMovEstoque!A:A,Tabela3[[#This Row],[Código]],BDMovEstoque!G:G,"Saída")</f>
        <v>0</v>
      </c>
      <c r="G10" t="str">
        <f>IF(Tabela3[[#This Row],[Saldo Estoque]]&lt;Tabela3[[#This Row],[Estoque Mínimo]],"Sim","")</f>
        <v/>
      </c>
      <c r="H10" s="33">
        <f>Tabela3[[#This Row],[Saldo Estoque]]*Tabela3[[#This Row],[Valor]]</f>
        <v>0</v>
      </c>
    </row>
    <row r="11" spans="1:8" x14ac:dyDescent="0.35">
      <c r="A11" s="1">
        <v>10</v>
      </c>
      <c r="F11" s="9">
        <f>SUMIFS(BDMovEstoque!C:C,BDMovEstoque!A:A,Tabela3[[#This Row],[Código]],BDMovEstoque!G:G,"Entrada")-SUMIFS(BDMovEstoque!C:C,BDMovEstoque!A:A,Tabela3[[#This Row],[Código]],BDMovEstoque!G:G,"Saída")</f>
        <v>0</v>
      </c>
      <c r="G11" t="str">
        <f>IF(Tabela3[[#This Row],[Saldo Estoque]]&lt;Tabela3[[#This Row],[Estoque Mínimo]],"Sim","")</f>
        <v/>
      </c>
      <c r="H11" s="33">
        <f>Tabela3[[#This Row],[Saldo Estoque]]*Tabela3[[#This Row],[Valor]]</f>
        <v>0</v>
      </c>
    </row>
    <row r="12" spans="1:8" x14ac:dyDescent="0.35">
      <c r="A12" s="1">
        <v>11</v>
      </c>
      <c r="F12" s="9">
        <f>SUMIFS(BDMovEstoque!C:C,BDMovEstoque!A:A,Tabela3[[#This Row],[Código]],BDMovEstoque!G:G,"Entrada")-SUMIFS(BDMovEstoque!C:C,BDMovEstoque!A:A,Tabela3[[#This Row],[Código]],BDMovEstoque!G:G,"Saída")</f>
        <v>0</v>
      </c>
      <c r="G12" t="str">
        <f>IF(Tabela3[[#This Row],[Saldo Estoque]]&lt;Tabela3[[#This Row],[Estoque Mínimo]],"Sim","")</f>
        <v/>
      </c>
      <c r="H12" s="33">
        <f>Tabela3[[#This Row],[Saldo Estoque]]*Tabela3[[#This Row],[Valor]]</f>
        <v>0</v>
      </c>
    </row>
    <row r="13" spans="1:8" x14ac:dyDescent="0.35">
      <c r="A13" s="1">
        <v>12</v>
      </c>
      <c r="F13" s="9">
        <f>SUMIFS(BDMovEstoque!C:C,BDMovEstoque!A:A,Tabela3[[#This Row],[Código]],BDMovEstoque!G:G,"Entrada")-SUMIFS(BDMovEstoque!C:C,BDMovEstoque!A:A,Tabela3[[#This Row],[Código]],BDMovEstoque!G:G,"Saída")</f>
        <v>0</v>
      </c>
      <c r="G13" t="str">
        <f>IF(Tabela3[[#This Row],[Saldo Estoque]]&lt;Tabela3[[#This Row],[Estoque Mínimo]],"Sim","")</f>
        <v/>
      </c>
      <c r="H13" s="33">
        <f>Tabela3[[#This Row],[Saldo Estoque]]*Tabela3[[#This Row],[Valor]]</f>
        <v>0</v>
      </c>
    </row>
    <row r="14" spans="1:8" x14ac:dyDescent="0.35">
      <c r="A14" s="1">
        <v>13</v>
      </c>
      <c r="F14" s="9">
        <f>SUMIFS(BDMovEstoque!C:C,BDMovEstoque!A:A,Tabela3[[#This Row],[Código]],BDMovEstoque!G:G,"Entrada")-SUMIFS(BDMovEstoque!C:C,BDMovEstoque!A:A,Tabela3[[#This Row],[Código]],BDMovEstoque!G:G,"Saída")</f>
        <v>0</v>
      </c>
      <c r="G14" t="str">
        <f>IF(Tabela3[[#This Row],[Saldo Estoque]]&lt;Tabela3[[#This Row],[Estoque Mínimo]],"Sim","")</f>
        <v/>
      </c>
      <c r="H14" s="33">
        <f>Tabela3[[#This Row],[Saldo Estoque]]*Tabela3[[#This Row],[Valor]]</f>
        <v>0</v>
      </c>
    </row>
    <row r="15" spans="1:8" x14ac:dyDescent="0.35">
      <c r="A15" s="1">
        <v>14</v>
      </c>
      <c r="F15" s="9">
        <f>SUMIFS(BDMovEstoque!C:C,BDMovEstoque!A:A,Tabela3[[#This Row],[Código]],BDMovEstoque!G:G,"Entrada")-SUMIFS(BDMovEstoque!C:C,BDMovEstoque!A:A,Tabela3[[#This Row],[Código]],BDMovEstoque!G:G,"Saída")</f>
        <v>0</v>
      </c>
      <c r="G15" t="str">
        <f>IF(Tabela3[[#This Row],[Saldo Estoque]]&lt;Tabela3[[#This Row],[Estoque Mínimo]],"Sim","")</f>
        <v/>
      </c>
      <c r="H15" s="33">
        <f>Tabela3[[#This Row],[Saldo Estoque]]*Tabela3[[#This Row],[Valor]]</f>
        <v>0</v>
      </c>
    </row>
    <row r="16" spans="1:8" x14ac:dyDescent="0.35">
      <c r="A16" s="1">
        <v>15</v>
      </c>
      <c r="F16" s="9">
        <f>SUMIFS(BDMovEstoque!C:C,BDMovEstoque!A:A,Tabela3[[#This Row],[Código]],BDMovEstoque!G:G,"Entrada")-SUMIFS(BDMovEstoque!C:C,BDMovEstoque!A:A,Tabela3[[#This Row],[Código]],BDMovEstoque!G:G,"Saída")</f>
        <v>0</v>
      </c>
      <c r="G16" t="str">
        <f>IF(Tabela3[[#This Row],[Saldo Estoque]]&lt;Tabela3[[#This Row],[Estoque Mínimo]],"Sim","")</f>
        <v/>
      </c>
      <c r="H16" s="33">
        <f>Tabela3[[#This Row],[Saldo Estoque]]*Tabela3[[#This Row],[Valor]]</f>
        <v>0</v>
      </c>
    </row>
    <row r="17" spans="1:8" x14ac:dyDescent="0.35">
      <c r="A17" s="1">
        <v>16</v>
      </c>
      <c r="F17" s="9">
        <f>SUMIFS(BDMovEstoque!C:C,BDMovEstoque!A:A,Tabela3[[#This Row],[Código]],BDMovEstoque!G:G,"Entrada")-SUMIFS(BDMovEstoque!C:C,BDMovEstoque!A:A,Tabela3[[#This Row],[Código]],BDMovEstoque!G:G,"Saída")</f>
        <v>0</v>
      </c>
      <c r="G17" t="str">
        <f>IF(Tabela3[[#This Row],[Saldo Estoque]]&lt;Tabela3[[#This Row],[Estoque Mínimo]],"Sim","")</f>
        <v/>
      </c>
      <c r="H17" s="33">
        <f>Tabela3[[#This Row],[Saldo Estoque]]*Tabela3[[#This Row],[Valor]]</f>
        <v>0</v>
      </c>
    </row>
    <row r="18" spans="1:8" x14ac:dyDescent="0.35">
      <c r="A18" s="1">
        <v>17</v>
      </c>
      <c r="F18" s="9">
        <f>SUMIFS(BDMovEstoque!C:C,BDMovEstoque!A:A,Tabela3[[#This Row],[Código]],BDMovEstoque!G:G,"Entrada")-SUMIFS(BDMovEstoque!C:C,BDMovEstoque!A:A,Tabela3[[#This Row],[Código]],BDMovEstoque!G:G,"Saída")</f>
        <v>0</v>
      </c>
      <c r="G18" t="str">
        <f>IF(Tabela3[[#This Row],[Saldo Estoque]]&lt;Tabela3[[#This Row],[Estoque Mínimo]],"Sim","")</f>
        <v/>
      </c>
      <c r="H18" s="33">
        <f>Tabela3[[#This Row],[Saldo Estoque]]*Tabela3[[#This Row],[Valor]]</f>
        <v>0</v>
      </c>
    </row>
    <row r="19" spans="1:8" x14ac:dyDescent="0.35">
      <c r="A19" s="1">
        <v>18</v>
      </c>
      <c r="F19" s="9">
        <f>SUMIFS(BDMovEstoque!C:C,BDMovEstoque!A:A,Tabela3[[#This Row],[Código]],BDMovEstoque!G:G,"Entrada")-SUMIFS(BDMovEstoque!C:C,BDMovEstoque!A:A,Tabela3[[#This Row],[Código]],BDMovEstoque!G:G,"Saída")</f>
        <v>0</v>
      </c>
      <c r="G19" t="str">
        <f>IF(Tabela3[[#This Row],[Saldo Estoque]]&lt;Tabela3[[#This Row],[Estoque Mínimo]],"Sim","")</f>
        <v/>
      </c>
      <c r="H19" s="33">
        <f>Tabela3[[#This Row],[Saldo Estoque]]*Tabela3[[#This Row],[Valor]]</f>
        <v>0</v>
      </c>
    </row>
    <row r="20" spans="1:8" x14ac:dyDescent="0.35">
      <c r="A20" s="1">
        <v>19</v>
      </c>
      <c r="F20" s="9">
        <f>SUMIFS(BDMovEstoque!C:C,BDMovEstoque!A:A,Tabela3[[#This Row],[Código]],BDMovEstoque!G:G,"Entrada")-SUMIFS(BDMovEstoque!C:C,BDMovEstoque!A:A,Tabela3[[#This Row],[Código]],BDMovEstoque!G:G,"Saída")</f>
        <v>0</v>
      </c>
      <c r="G20" t="str">
        <f>IF(Tabela3[[#This Row],[Saldo Estoque]]&lt;Tabela3[[#This Row],[Estoque Mínimo]],"Sim","")</f>
        <v/>
      </c>
      <c r="H20" s="33">
        <f>Tabela3[[#This Row],[Saldo Estoque]]*Tabela3[[#This Row],[Valor]]</f>
        <v>0</v>
      </c>
    </row>
    <row r="21" spans="1:8" x14ac:dyDescent="0.35">
      <c r="A21" s="1">
        <v>20</v>
      </c>
      <c r="F21" s="9">
        <f>SUMIFS(BDMovEstoque!C:C,BDMovEstoque!A:A,Tabela3[[#This Row],[Código]],BDMovEstoque!G:G,"Entrada")-SUMIFS(BDMovEstoque!C:C,BDMovEstoque!A:A,Tabela3[[#This Row],[Código]],BDMovEstoque!G:G,"Saída")</f>
        <v>0</v>
      </c>
      <c r="G21" t="str">
        <f>IF(Tabela3[[#This Row],[Saldo Estoque]]&lt;Tabela3[[#This Row],[Estoque Mínimo]],"Sim","")</f>
        <v/>
      </c>
      <c r="H21" s="33">
        <f>Tabela3[[#This Row],[Saldo Estoque]]*Tabela3[[#This Row],[Valor]]</f>
        <v>0</v>
      </c>
    </row>
    <row r="22" spans="1:8" x14ac:dyDescent="0.35">
      <c r="A22" s="1">
        <v>21</v>
      </c>
      <c r="F22" s="9">
        <f>SUMIFS(BDMovEstoque!C:C,BDMovEstoque!A:A,Tabela3[[#This Row],[Código]],BDMovEstoque!G:G,"Entrada")-SUMIFS(BDMovEstoque!C:C,BDMovEstoque!A:A,Tabela3[[#This Row],[Código]],BDMovEstoque!G:G,"Saída")</f>
        <v>0</v>
      </c>
      <c r="G22" t="str">
        <f>IF(Tabela3[[#This Row],[Saldo Estoque]]&lt;Tabela3[[#This Row],[Estoque Mínimo]],"Sim","")</f>
        <v/>
      </c>
      <c r="H22" s="33">
        <f>Tabela3[[#This Row],[Saldo Estoque]]*Tabela3[[#This Row],[Valor]]</f>
        <v>0</v>
      </c>
    </row>
    <row r="23" spans="1:8" x14ac:dyDescent="0.35">
      <c r="A23" s="1">
        <v>22</v>
      </c>
      <c r="F23" s="9">
        <f>SUMIFS(BDMovEstoque!C:C,BDMovEstoque!A:A,Tabela3[[#This Row],[Código]],BDMovEstoque!G:G,"Entrada")-SUMIFS(BDMovEstoque!C:C,BDMovEstoque!A:A,Tabela3[[#This Row],[Código]],BDMovEstoque!G:G,"Saída")</f>
        <v>0</v>
      </c>
      <c r="G23" t="str">
        <f>IF(Tabela3[[#This Row],[Saldo Estoque]]&lt;Tabela3[[#This Row],[Estoque Mínimo]],"Sim","")</f>
        <v/>
      </c>
      <c r="H23" s="33">
        <f>Tabela3[[#This Row],[Saldo Estoque]]*Tabela3[[#This Row],[Valor]]</f>
        <v>0</v>
      </c>
    </row>
    <row r="24" spans="1:8" x14ac:dyDescent="0.35">
      <c r="A24" s="1">
        <v>23</v>
      </c>
      <c r="F24" s="9">
        <f>SUMIFS(BDMovEstoque!C:C,BDMovEstoque!A:A,Tabela3[[#This Row],[Código]],BDMovEstoque!G:G,"Entrada")-SUMIFS(BDMovEstoque!C:C,BDMovEstoque!A:A,Tabela3[[#This Row],[Código]],BDMovEstoque!G:G,"Saída")</f>
        <v>0</v>
      </c>
      <c r="G24" t="str">
        <f>IF(Tabela3[[#This Row],[Saldo Estoque]]&lt;Tabela3[[#This Row],[Estoque Mínimo]],"Sim","")</f>
        <v/>
      </c>
      <c r="H24" s="33">
        <f>Tabela3[[#This Row],[Saldo Estoque]]*Tabela3[[#This Row],[Valor]]</f>
        <v>0</v>
      </c>
    </row>
    <row r="25" spans="1:8" x14ac:dyDescent="0.35">
      <c r="A25" s="1">
        <v>24</v>
      </c>
      <c r="F25" s="9">
        <f>SUMIFS(BDMovEstoque!C:C,BDMovEstoque!A:A,Tabela3[[#This Row],[Código]],BDMovEstoque!G:G,"Entrada")-SUMIFS(BDMovEstoque!C:C,BDMovEstoque!A:A,Tabela3[[#This Row],[Código]],BDMovEstoque!G:G,"Saída")</f>
        <v>0</v>
      </c>
      <c r="G25" t="str">
        <f>IF(Tabela3[[#This Row],[Saldo Estoque]]&lt;Tabela3[[#This Row],[Estoque Mínimo]],"Sim","")</f>
        <v/>
      </c>
      <c r="H25" s="33">
        <f>Tabela3[[#This Row],[Saldo Estoque]]*Tabela3[[#This Row],[Valor]]</f>
        <v>0</v>
      </c>
    </row>
    <row r="26" spans="1:8" x14ac:dyDescent="0.35">
      <c r="A26" s="1">
        <v>25</v>
      </c>
      <c r="F26" s="9">
        <f>SUMIFS(BDMovEstoque!C:C,BDMovEstoque!A:A,Tabela3[[#This Row],[Código]],BDMovEstoque!G:G,"Entrada")-SUMIFS(BDMovEstoque!C:C,BDMovEstoque!A:A,Tabela3[[#This Row],[Código]],BDMovEstoque!G:G,"Saída")</f>
        <v>0</v>
      </c>
      <c r="G26" t="str">
        <f>IF(Tabela3[[#This Row],[Saldo Estoque]]&lt;Tabela3[[#This Row],[Estoque Mínimo]],"Sim","")</f>
        <v/>
      </c>
      <c r="H26" s="33">
        <f>Tabela3[[#This Row],[Saldo Estoque]]*Tabela3[[#This Row],[Valor]]</f>
        <v>0</v>
      </c>
    </row>
    <row r="27" spans="1:8" x14ac:dyDescent="0.35">
      <c r="A27" s="1">
        <v>26</v>
      </c>
      <c r="F27" s="9">
        <f>SUMIFS(BDMovEstoque!C:C,BDMovEstoque!A:A,Tabela3[[#This Row],[Código]],BDMovEstoque!G:G,"Entrada")-SUMIFS(BDMovEstoque!C:C,BDMovEstoque!A:A,Tabela3[[#This Row],[Código]],BDMovEstoque!G:G,"Saída")</f>
        <v>0</v>
      </c>
      <c r="G27" t="str">
        <f>IF(Tabela3[[#This Row],[Saldo Estoque]]&lt;Tabela3[[#This Row],[Estoque Mínimo]],"Sim","")</f>
        <v/>
      </c>
      <c r="H27" s="33">
        <f>Tabela3[[#This Row],[Saldo Estoque]]*Tabela3[[#This Row],[Valor]]</f>
        <v>0</v>
      </c>
    </row>
    <row r="28" spans="1:8" x14ac:dyDescent="0.35">
      <c r="A28" s="1">
        <v>27</v>
      </c>
      <c r="F28" s="9">
        <f>SUMIFS(BDMovEstoque!C:C,BDMovEstoque!A:A,Tabela3[[#This Row],[Código]],BDMovEstoque!G:G,"Entrada")-SUMIFS(BDMovEstoque!C:C,BDMovEstoque!A:A,Tabela3[[#This Row],[Código]],BDMovEstoque!G:G,"Saída")</f>
        <v>0</v>
      </c>
      <c r="G28" t="str">
        <f>IF(Tabela3[[#This Row],[Saldo Estoque]]&lt;Tabela3[[#This Row],[Estoque Mínimo]],"Sim","")</f>
        <v/>
      </c>
      <c r="H28" s="33">
        <f>Tabela3[[#This Row],[Saldo Estoque]]*Tabela3[[#This Row],[Valor]]</f>
        <v>0</v>
      </c>
    </row>
    <row r="29" spans="1:8" x14ac:dyDescent="0.35">
      <c r="A29" s="1">
        <v>28</v>
      </c>
      <c r="F29" s="9">
        <f>SUMIFS(BDMovEstoque!C:C,BDMovEstoque!A:A,Tabela3[[#This Row],[Código]],BDMovEstoque!G:G,"Entrada")-SUMIFS(BDMovEstoque!C:C,BDMovEstoque!A:A,Tabela3[[#This Row],[Código]],BDMovEstoque!G:G,"Saída")</f>
        <v>0</v>
      </c>
      <c r="G29" t="str">
        <f>IF(Tabela3[[#This Row],[Saldo Estoque]]&lt;Tabela3[[#This Row],[Estoque Mínimo]],"Sim","")</f>
        <v/>
      </c>
      <c r="H29" s="33">
        <f>Tabela3[[#This Row],[Saldo Estoque]]*Tabela3[[#This Row],[Valor]]</f>
        <v>0</v>
      </c>
    </row>
    <row r="30" spans="1:8" x14ac:dyDescent="0.35">
      <c r="A30" s="1">
        <v>29</v>
      </c>
      <c r="F30" s="9">
        <f>SUMIFS(BDMovEstoque!C:C,BDMovEstoque!A:A,Tabela3[[#This Row],[Código]],BDMovEstoque!G:G,"Entrada")-SUMIFS(BDMovEstoque!C:C,BDMovEstoque!A:A,Tabela3[[#This Row],[Código]],BDMovEstoque!G:G,"Saída")</f>
        <v>0</v>
      </c>
      <c r="G30" t="str">
        <f>IF(Tabela3[[#This Row],[Saldo Estoque]]&lt;Tabela3[[#This Row],[Estoque Mínimo]],"Sim","")</f>
        <v/>
      </c>
      <c r="H30" s="33">
        <f>Tabela3[[#This Row],[Saldo Estoque]]*Tabela3[[#This Row],[Valor]]</f>
        <v>0</v>
      </c>
    </row>
    <row r="31" spans="1:8" x14ac:dyDescent="0.35">
      <c r="A31" s="1">
        <v>30</v>
      </c>
      <c r="F31" s="9">
        <f>SUMIFS(BDMovEstoque!C:C,BDMovEstoque!A:A,Tabela3[[#This Row],[Código]],BDMovEstoque!G:G,"Entrada")-SUMIFS(BDMovEstoque!C:C,BDMovEstoque!A:A,Tabela3[[#This Row],[Código]],BDMovEstoque!G:G,"Saída")</f>
        <v>0</v>
      </c>
      <c r="G31" t="str">
        <f>IF(Tabela3[[#This Row],[Saldo Estoque]]&lt;Tabela3[[#This Row],[Estoque Mínimo]],"Sim","")</f>
        <v/>
      </c>
      <c r="H31" s="33">
        <f>Tabela3[[#This Row],[Saldo Estoque]]*Tabela3[[#This Row],[Valor]]</f>
        <v>0</v>
      </c>
    </row>
    <row r="32" spans="1:8" x14ac:dyDescent="0.35">
      <c r="A32" s="1">
        <v>31</v>
      </c>
      <c r="F32" s="9">
        <f>SUMIFS(BDMovEstoque!C:C,BDMovEstoque!A:A,Tabela3[[#This Row],[Código]],BDMovEstoque!G:G,"Entrada")-SUMIFS(BDMovEstoque!C:C,BDMovEstoque!A:A,Tabela3[[#This Row],[Código]],BDMovEstoque!G:G,"Saída")</f>
        <v>0</v>
      </c>
      <c r="G32" t="str">
        <f>IF(Tabela3[[#This Row],[Saldo Estoque]]&lt;Tabela3[[#This Row],[Estoque Mínimo]],"Sim","")</f>
        <v/>
      </c>
      <c r="H32" s="33">
        <f>Tabela3[[#This Row],[Saldo Estoque]]*Tabela3[[#This Row],[Valor]]</f>
        <v>0</v>
      </c>
    </row>
    <row r="33" spans="1:8" x14ac:dyDescent="0.35">
      <c r="A33" s="1">
        <v>32</v>
      </c>
      <c r="F33" s="9">
        <f>SUMIFS(BDMovEstoque!C:C,BDMovEstoque!A:A,Tabela3[[#This Row],[Código]],BDMovEstoque!G:G,"Entrada")-SUMIFS(BDMovEstoque!C:C,BDMovEstoque!A:A,Tabela3[[#This Row],[Código]],BDMovEstoque!G:G,"Saída")</f>
        <v>0</v>
      </c>
      <c r="G33" t="str">
        <f>IF(Tabela3[[#This Row],[Saldo Estoque]]&lt;Tabela3[[#This Row],[Estoque Mínimo]],"Sim","")</f>
        <v/>
      </c>
      <c r="H33" s="33">
        <f>Tabela3[[#This Row],[Saldo Estoque]]*Tabela3[[#This Row],[Valor]]</f>
        <v>0</v>
      </c>
    </row>
    <row r="34" spans="1:8" x14ac:dyDescent="0.35">
      <c r="A34" s="1">
        <v>33</v>
      </c>
      <c r="F34" s="9">
        <f>SUMIFS(BDMovEstoque!C:C,BDMovEstoque!A:A,Tabela3[[#This Row],[Código]],BDMovEstoque!G:G,"Entrada")-SUMIFS(BDMovEstoque!C:C,BDMovEstoque!A:A,Tabela3[[#This Row],[Código]],BDMovEstoque!G:G,"Saída")</f>
        <v>0</v>
      </c>
      <c r="G34" t="str">
        <f>IF(Tabela3[[#This Row],[Saldo Estoque]]&lt;Tabela3[[#This Row],[Estoque Mínimo]],"Sim","")</f>
        <v/>
      </c>
      <c r="H34" s="33">
        <f>Tabela3[[#This Row],[Saldo Estoque]]*Tabela3[[#This Row],[Valor]]</f>
        <v>0</v>
      </c>
    </row>
    <row r="35" spans="1:8" x14ac:dyDescent="0.35">
      <c r="A35" s="1">
        <v>34</v>
      </c>
      <c r="F35" s="9">
        <f>SUMIFS(BDMovEstoque!C:C,BDMovEstoque!A:A,Tabela3[[#This Row],[Código]],BDMovEstoque!G:G,"Entrada")-SUMIFS(BDMovEstoque!C:C,BDMovEstoque!A:A,Tabela3[[#This Row],[Código]],BDMovEstoque!G:G,"Saída")</f>
        <v>0</v>
      </c>
      <c r="G35" t="str">
        <f>IF(Tabela3[[#This Row],[Saldo Estoque]]&lt;Tabela3[[#This Row],[Estoque Mínimo]],"Sim","")</f>
        <v/>
      </c>
      <c r="H35" s="33">
        <f>Tabela3[[#This Row],[Saldo Estoque]]*Tabela3[[#This Row],[Valor]]</f>
        <v>0</v>
      </c>
    </row>
    <row r="36" spans="1:8" x14ac:dyDescent="0.35">
      <c r="A36" s="1">
        <v>35</v>
      </c>
      <c r="F36" s="9">
        <f>SUMIFS(BDMovEstoque!C:C,BDMovEstoque!A:A,Tabela3[[#This Row],[Código]],BDMovEstoque!G:G,"Entrada")-SUMIFS(BDMovEstoque!C:C,BDMovEstoque!A:A,Tabela3[[#This Row],[Código]],BDMovEstoque!G:G,"Saída")</f>
        <v>0</v>
      </c>
      <c r="G36" t="str">
        <f>IF(Tabela3[[#This Row],[Saldo Estoque]]&lt;Tabela3[[#This Row],[Estoque Mínimo]],"Sim","")</f>
        <v/>
      </c>
      <c r="H36" s="33">
        <f>Tabela3[[#This Row],[Saldo Estoque]]*Tabela3[[#This Row],[Valor]]</f>
        <v>0</v>
      </c>
    </row>
    <row r="37" spans="1:8" x14ac:dyDescent="0.35">
      <c r="A37" s="1">
        <v>36</v>
      </c>
      <c r="F37" s="9">
        <f>SUMIFS(BDMovEstoque!C:C,BDMovEstoque!A:A,Tabela3[[#This Row],[Código]],BDMovEstoque!G:G,"Entrada")-SUMIFS(BDMovEstoque!C:C,BDMovEstoque!A:A,Tabela3[[#This Row],[Código]],BDMovEstoque!G:G,"Saída")</f>
        <v>0</v>
      </c>
      <c r="G37" t="str">
        <f>IF(Tabela3[[#This Row],[Saldo Estoque]]&lt;Tabela3[[#This Row],[Estoque Mínimo]],"Sim","")</f>
        <v/>
      </c>
      <c r="H37" s="33">
        <f>Tabela3[[#This Row],[Saldo Estoque]]*Tabela3[[#This Row],[Valor]]</f>
        <v>0</v>
      </c>
    </row>
    <row r="38" spans="1:8" x14ac:dyDescent="0.35">
      <c r="A38" s="1">
        <v>37</v>
      </c>
      <c r="F38" s="9">
        <f>SUMIFS(BDMovEstoque!C:C,BDMovEstoque!A:A,Tabela3[[#This Row],[Código]],BDMovEstoque!G:G,"Entrada")-SUMIFS(BDMovEstoque!C:C,BDMovEstoque!A:A,Tabela3[[#This Row],[Código]],BDMovEstoque!G:G,"Saída")</f>
        <v>0</v>
      </c>
      <c r="G38" t="str">
        <f>IF(Tabela3[[#This Row],[Saldo Estoque]]&lt;Tabela3[[#This Row],[Estoque Mínimo]],"Sim","")</f>
        <v/>
      </c>
      <c r="H38" s="33">
        <f>Tabela3[[#This Row],[Saldo Estoque]]*Tabela3[[#This Row],[Valor]]</f>
        <v>0</v>
      </c>
    </row>
    <row r="39" spans="1:8" x14ac:dyDescent="0.35">
      <c r="A39" s="1">
        <v>38</v>
      </c>
      <c r="F39" s="9">
        <f>SUMIFS(BDMovEstoque!C:C,BDMovEstoque!A:A,Tabela3[[#This Row],[Código]],BDMovEstoque!G:G,"Entrada")-SUMIFS(BDMovEstoque!C:C,BDMovEstoque!A:A,Tabela3[[#This Row],[Código]],BDMovEstoque!G:G,"Saída")</f>
        <v>0</v>
      </c>
      <c r="G39" t="str">
        <f>IF(Tabela3[[#This Row],[Saldo Estoque]]&lt;Tabela3[[#This Row],[Estoque Mínimo]],"Sim","")</f>
        <v/>
      </c>
      <c r="H39" s="33">
        <f>Tabela3[[#This Row],[Saldo Estoque]]*Tabela3[[#This Row],[Valor]]</f>
        <v>0</v>
      </c>
    </row>
    <row r="40" spans="1:8" x14ac:dyDescent="0.35">
      <c r="A40" s="1">
        <v>39</v>
      </c>
      <c r="F40" s="9">
        <f>SUMIFS(BDMovEstoque!C:C,BDMovEstoque!A:A,Tabela3[[#This Row],[Código]],BDMovEstoque!G:G,"Entrada")-SUMIFS(BDMovEstoque!C:C,BDMovEstoque!A:A,Tabela3[[#This Row],[Código]],BDMovEstoque!G:G,"Saída")</f>
        <v>0</v>
      </c>
      <c r="G40" t="str">
        <f>IF(Tabela3[[#This Row],[Saldo Estoque]]&lt;Tabela3[[#This Row],[Estoque Mínimo]],"Sim","")</f>
        <v/>
      </c>
      <c r="H40" s="33">
        <f>Tabela3[[#This Row],[Saldo Estoque]]*Tabela3[[#This Row],[Valor]]</f>
        <v>0</v>
      </c>
    </row>
    <row r="41" spans="1:8" x14ac:dyDescent="0.35">
      <c r="A41" s="1">
        <v>40</v>
      </c>
      <c r="F41" s="9">
        <f>SUMIFS(BDMovEstoque!C:C,BDMovEstoque!A:A,Tabela3[[#This Row],[Código]],BDMovEstoque!G:G,"Entrada")-SUMIFS(BDMovEstoque!C:C,BDMovEstoque!A:A,Tabela3[[#This Row],[Código]],BDMovEstoque!G:G,"Saída")</f>
        <v>0</v>
      </c>
      <c r="G41" t="str">
        <f>IF(Tabela3[[#This Row],[Saldo Estoque]]&lt;Tabela3[[#This Row],[Estoque Mínimo]],"Sim","")</f>
        <v/>
      </c>
      <c r="H41" s="33">
        <f>Tabela3[[#This Row],[Saldo Estoque]]*Tabela3[[#This Row],[Valor]]</f>
        <v>0</v>
      </c>
    </row>
    <row r="42" spans="1:8" x14ac:dyDescent="0.35">
      <c r="A42" s="1">
        <v>41</v>
      </c>
      <c r="F42" s="9">
        <f>SUMIFS(BDMovEstoque!C:C,BDMovEstoque!A:A,Tabela3[[#This Row],[Código]],BDMovEstoque!G:G,"Entrada")-SUMIFS(BDMovEstoque!C:C,BDMovEstoque!A:A,Tabela3[[#This Row],[Código]],BDMovEstoque!G:G,"Saída")</f>
        <v>0</v>
      </c>
      <c r="G42" t="str">
        <f>IF(Tabela3[[#This Row],[Saldo Estoque]]&lt;Tabela3[[#This Row],[Estoque Mínimo]],"Sim","")</f>
        <v/>
      </c>
      <c r="H42" s="33">
        <f>Tabela3[[#This Row],[Saldo Estoque]]*Tabela3[[#This Row],[Valor]]</f>
        <v>0</v>
      </c>
    </row>
    <row r="43" spans="1:8" x14ac:dyDescent="0.35">
      <c r="A43" s="1">
        <v>42</v>
      </c>
      <c r="F43" s="9">
        <f>SUMIFS(BDMovEstoque!C:C,BDMovEstoque!A:A,Tabela3[[#This Row],[Código]],BDMovEstoque!G:G,"Entrada")-SUMIFS(BDMovEstoque!C:C,BDMovEstoque!A:A,Tabela3[[#This Row],[Código]],BDMovEstoque!G:G,"Saída")</f>
        <v>0</v>
      </c>
      <c r="G43" t="str">
        <f>IF(Tabela3[[#This Row],[Saldo Estoque]]&lt;Tabela3[[#This Row],[Estoque Mínimo]],"Sim","")</f>
        <v/>
      </c>
      <c r="H43" s="33">
        <f>Tabela3[[#This Row],[Saldo Estoque]]*Tabela3[[#This Row],[Valor]]</f>
        <v>0</v>
      </c>
    </row>
    <row r="44" spans="1:8" x14ac:dyDescent="0.35">
      <c r="A44" s="1">
        <v>43</v>
      </c>
      <c r="F44" s="9">
        <f>SUMIFS(BDMovEstoque!C:C,BDMovEstoque!A:A,Tabela3[[#This Row],[Código]],BDMovEstoque!G:G,"Entrada")-SUMIFS(BDMovEstoque!C:C,BDMovEstoque!A:A,Tabela3[[#This Row],[Código]],BDMovEstoque!G:G,"Saída")</f>
        <v>0</v>
      </c>
      <c r="G44" t="str">
        <f>IF(Tabela3[[#This Row],[Saldo Estoque]]&lt;Tabela3[[#This Row],[Estoque Mínimo]],"Sim","")</f>
        <v/>
      </c>
      <c r="H44" s="33">
        <f>Tabela3[[#This Row],[Saldo Estoque]]*Tabela3[[#This Row],[Valor]]</f>
        <v>0</v>
      </c>
    </row>
    <row r="45" spans="1:8" x14ac:dyDescent="0.35">
      <c r="A45" s="1">
        <v>44</v>
      </c>
      <c r="F45" s="9">
        <f>SUMIFS(BDMovEstoque!C:C,BDMovEstoque!A:A,Tabela3[[#This Row],[Código]],BDMovEstoque!G:G,"Entrada")-SUMIFS(BDMovEstoque!C:C,BDMovEstoque!A:A,Tabela3[[#This Row],[Código]],BDMovEstoque!G:G,"Saída")</f>
        <v>0</v>
      </c>
      <c r="G45" t="str">
        <f>IF(Tabela3[[#This Row],[Saldo Estoque]]&lt;Tabela3[[#This Row],[Estoque Mínimo]],"Sim","")</f>
        <v/>
      </c>
      <c r="H45" s="33">
        <f>Tabela3[[#This Row],[Saldo Estoque]]*Tabela3[[#This Row],[Valor]]</f>
        <v>0</v>
      </c>
    </row>
    <row r="46" spans="1:8" x14ac:dyDescent="0.35">
      <c r="A46" s="1">
        <v>45</v>
      </c>
      <c r="F46" s="9">
        <f>SUMIFS(BDMovEstoque!C:C,BDMovEstoque!A:A,Tabela3[[#This Row],[Código]],BDMovEstoque!G:G,"Entrada")-SUMIFS(BDMovEstoque!C:C,BDMovEstoque!A:A,Tabela3[[#This Row],[Código]],BDMovEstoque!G:G,"Saída")</f>
        <v>0</v>
      </c>
      <c r="G46" t="str">
        <f>IF(Tabela3[[#This Row],[Saldo Estoque]]&lt;Tabela3[[#This Row],[Estoque Mínimo]],"Sim","")</f>
        <v/>
      </c>
      <c r="H46" s="33">
        <f>Tabela3[[#This Row],[Saldo Estoque]]*Tabela3[[#This Row],[Valor]]</f>
        <v>0</v>
      </c>
    </row>
    <row r="47" spans="1:8" x14ac:dyDescent="0.35">
      <c r="A47" s="1">
        <v>46</v>
      </c>
      <c r="F47" s="9">
        <f>SUMIFS(BDMovEstoque!C:C,BDMovEstoque!A:A,Tabela3[[#This Row],[Código]],BDMovEstoque!G:G,"Entrada")-SUMIFS(BDMovEstoque!C:C,BDMovEstoque!A:A,Tabela3[[#This Row],[Código]],BDMovEstoque!G:G,"Saída")</f>
        <v>0</v>
      </c>
      <c r="G47" t="str">
        <f>IF(Tabela3[[#This Row],[Saldo Estoque]]&lt;Tabela3[[#This Row],[Estoque Mínimo]],"Sim","")</f>
        <v/>
      </c>
      <c r="H47" s="33">
        <f>Tabela3[[#This Row],[Saldo Estoque]]*Tabela3[[#This Row],[Valor]]</f>
        <v>0</v>
      </c>
    </row>
    <row r="48" spans="1:8" x14ac:dyDescent="0.35">
      <c r="A48" s="1">
        <v>47</v>
      </c>
      <c r="F48" s="9">
        <f>SUMIFS(BDMovEstoque!C:C,BDMovEstoque!A:A,Tabela3[[#This Row],[Código]],BDMovEstoque!G:G,"Entrada")-SUMIFS(BDMovEstoque!C:C,BDMovEstoque!A:A,Tabela3[[#This Row],[Código]],BDMovEstoque!G:G,"Saída")</f>
        <v>0</v>
      </c>
      <c r="G48" t="str">
        <f>IF(Tabela3[[#This Row],[Saldo Estoque]]&lt;Tabela3[[#This Row],[Estoque Mínimo]],"Sim","")</f>
        <v/>
      </c>
      <c r="H48" s="33">
        <f>Tabela3[[#This Row],[Saldo Estoque]]*Tabela3[[#This Row],[Valor]]</f>
        <v>0</v>
      </c>
    </row>
    <row r="49" spans="1:8" x14ac:dyDescent="0.35">
      <c r="A49" s="1">
        <v>48</v>
      </c>
      <c r="F49" s="9">
        <f>SUMIFS(BDMovEstoque!C:C,BDMovEstoque!A:A,Tabela3[[#This Row],[Código]],BDMovEstoque!G:G,"Entrada")-SUMIFS(BDMovEstoque!C:C,BDMovEstoque!A:A,Tabela3[[#This Row],[Código]],BDMovEstoque!G:G,"Saída")</f>
        <v>0</v>
      </c>
      <c r="G49" t="str">
        <f>IF(Tabela3[[#This Row],[Saldo Estoque]]&lt;Tabela3[[#This Row],[Estoque Mínimo]],"Sim","")</f>
        <v/>
      </c>
      <c r="H49" s="33">
        <f>Tabela3[[#This Row],[Saldo Estoque]]*Tabela3[[#This Row],[Valor]]</f>
        <v>0</v>
      </c>
    </row>
    <row r="50" spans="1:8" x14ac:dyDescent="0.35">
      <c r="A50" s="1">
        <v>49</v>
      </c>
      <c r="F50" s="9">
        <f>SUMIFS(BDMovEstoque!C:C,BDMovEstoque!A:A,Tabela3[[#This Row],[Código]],BDMovEstoque!G:G,"Entrada")-SUMIFS(BDMovEstoque!C:C,BDMovEstoque!A:A,Tabela3[[#This Row],[Código]],BDMovEstoque!G:G,"Saída")</f>
        <v>0</v>
      </c>
      <c r="G50" t="str">
        <f>IF(Tabela3[[#This Row],[Saldo Estoque]]&lt;Tabela3[[#This Row],[Estoque Mínimo]],"Sim","")</f>
        <v/>
      </c>
      <c r="H50" s="33">
        <f>Tabela3[[#This Row],[Saldo Estoque]]*Tabela3[[#This Row],[Valor]]</f>
        <v>0</v>
      </c>
    </row>
    <row r="51" spans="1:8" x14ac:dyDescent="0.35">
      <c r="A51" s="1">
        <v>50</v>
      </c>
      <c r="F51" s="9">
        <f>SUMIFS(BDMovEstoque!C:C,BDMovEstoque!A:A,Tabela3[[#This Row],[Código]],BDMovEstoque!G:G,"Entrada")-SUMIFS(BDMovEstoque!C:C,BDMovEstoque!A:A,Tabela3[[#This Row],[Código]],BDMovEstoque!G:G,"Saída")</f>
        <v>0</v>
      </c>
      <c r="G51" t="str">
        <f>IF(Tabela3[[#This Row],[Saldo Estoque]]&lt;Tabela3[[#This Row],[Estoque Mínimo]],"Sim","")</f>
        <v/>
      </c>
      <c r="H51" s="33">
        <f>Tabela3[[#This Row],[Saldo Estoque]]*Tabela3[[#This Row],[Valor]]</f>
        <v>0</v>
      </c>
    </row>
    <row r="52" spans="1:8" x14ac:dyDescent="0.35">
      <c r="A52" s="1">
        <v>51</v>
      </c>
      <c r="F52" s="9">
        <f>SUMIFS(BDMovEstoque!C:C,BDMovEstoque!A:A,Tabela3[[#This Row],[Código]],BDMovEstoque!G:G,"Entrada")-SUMIFS(BDMovEstoque!C:C,BDMovEstoque!A:A,Tabela3[[#This Row],[Código]],BDMovEstoque!G:G,"Saída")</f>
        <v>0</v>
      </c>
      <c r="G52" t="str">
        <f>IF(Tabela3[[#This Row],[Saldo Estoque]]&lt;Tabela3[[#This Row],[Estoque Mínimo]],"Sim","")</f>
        <v/>
      </c>
      <c r="H52" s="33">
        <f>Tabela3[[#This Row],[Saldo Estoque]]*Tabela3[[#This Row],[Valor]]</f>
        <v>0</v>
      </c>
    </row>
    <row r="53" spans="1:8" x14ac:dyDescent="0.35">
      <c r="A53" s="1">
        <v>52</v>
      </c>
      <c r="F53" s="9">
        <f>SUMIFS(BDMovEstoque!C:C,BDMovEstoque!A:A,Tabela3[[#This Row],[Código]],BDMovEstoque!G:G,"Entrada")-SUMIFS(BDMovEstoque!C:C,BDMovEstoque!A:A,Tabela3[[#This Row],[Código]],BDMovEstoque!G:G,"Saída")</f>
        <v>0</v>
      </c>
      <c r="G53" t="str">
        <f>IF(Tabela3[[#This Row],[Saldo Estoque]]&lt;Tabela3[[#This Row],[Estoque Mínimo]],"Sim","")</f>
        <v/>
      </c>
      <c r="H53" s="33">
        <f>Tabela3[[#This Row],[Saldo Estoque]]*Tabela3[[#This Row],[Valor]]</f>
        <v>0</v>
      </c>
    </row>
    <row r="54" spans="1:8" x14ac:dyDescent="0.35">
      <c r="A54" s="1">
        <v>53</v>
      </c>
      <c r="F54" s="9">
        <f>SUMIFS(BDMovEstoque!C:C,BDMovEstoque!A:A,Tabela3[[#This Row],[Código]],BDMovEstoque!G:G,"Entrada")-SUMIFS(BDMovEstoque!C:C,BDMovEstoque!A:A,Tabela3[[#This Row],[Código]],BDMovEstoque!G:G,"Saída")</f>
        <v>0</v>
      </c>
      <c r="G54" t="str">
        <f>IF(Tabela3[[#This Row],[Saldo Estoque]]&lt;Tabela3[[#This Row],[Estoque Mínimo]],"Sim","")</f>
        <v/>
      </c>
      <c r="H54" s="33">
        <f>Tabela3[[#This Row],[Saldo Estoque]]*Tabela3[[#This Row],[Valor]]</f>
        <v>0</v>
      </c>
    </row>
    <row r="55" spans="1:8" x14ac:dyDescent="0.35">
      <c r="A55" s="1">
        <v>54</v>
      </c>
      <c r="F55" s="9">
        <f>SUMIFS(BDMovEstoque!C:C,BDMovEstoque!A:A,Tabela3[[#This Row],[Código]],BDMovEstoque!G:G,"Entrada")-SUMIFS(BDMovEstoque!C:C,BDMovEstoque!A:A,Tabela3[[#This Row],[Código]],BDMovEstoque!G:G,"Saída")</f>
        <v>0</v>
      </c>
      <c r="G55" t="str">
        <f>IF(Tabela3[[#This Row],[Saldo Estoque]]&lt;Tabela3[[#This Row],[Estoque Mínimo]],"Sim","")</f>
        <v/>
      </c>
      <c r="H55" s="33">
        <f>Tabela3[[#This Row],[Saldo Estoque]]*Tabela3[[#This Row],[Valor]]</f>
        <v>0</v>
      </c>
    </row>
    <row r="56" spans="1:8" x14ac:dyDescent="0.35">
      <c r="A56" s="1">
        <v>55</v>
      </c>
      <c r="F56" s="9">
        <f>SUMIFS(BDMovEstoque!C:C,BDMovEstoque!A:A,Tabela3[[#This Row],[Código]],BDMovEstoque!G:G,"Entrada")-SUMIFS(BDMovEstoque!C:C,BDMovEstoque!A:A,Tabela3[[#This Row],[Código]],BDMovEstoque!G:G,"Saída")</f>
        <v>0</v>
      </c>
      <c r="G56" t="str">
        <f>IF(Tabela3[[#This Row],[Saldo Estoque]]&lt;Tabela3[[#This Row],[Estoque Mínimo]],"Sim","")</f>
        <v/>
      </c>
      <c r="H56" s="33">
        <f>Tabela3[[#This Row],[Saldo Estoque]]*Tabela3[[#This Row],[Valor]]</f>
        <v>0</v>
      </c>
    </row>
    <row r="57" spans="1:8" x14ac:dyDescent="0.35">
      <c r="A57" s="1">
        <v>56</v>
      </c>
      <c r="F57" s="9">
        <f>SUMIFS(BDMovEstoque!C:C,BDMovEstoque!A:A,Tabela3[[#This Row],[Código]],BDMovEstoque!G:G,"Entrada")-SUMIFS(BDMovEstoque!C:C,BDMovEstoque!A:A,Tabela3[[#This Row],[Código]],BDMovEstoque!G:G,"Saída")</f>
        <v>0</v>
      </c>
      <c r="G57" t="str">
        <f>IF(Tabela3[[#This Row],[Saldo Estoque]]&lt;Tabela3[[#This Row],[Estoque Mínimo]],"Sim","")</f>
        <v/>
      </c>
      <c r="H57" s="33">
        <f>Tabela3[[#This Row],[Saldo Estoque]]*Tabela3[[#This Row],[Valor]]</f>
        <v>0</v>
      </c>
    </row>
    <row r="58" spans="1:8" x14ac:dyDescent="0.35">
      <c r="A58" s="1">
        <v>57</v>
      </c>
      <c r="F58" s="9">
        <f>SUMIFS(BDMovEstoque!C:C,BDMovEstoque!A:A,Tabela3[[#This Row],[Código]],BDMovEstoque!G:G,"Entrada")-SUMIFS(BDMovEstoque!C:C,BDMovEstoque!A:A,Tabela3[[#This Row],[Código]],BDMovEstoque!G:G,"Saída")</f>
        <v>0</v>
      </c>
      <c r="G58" t="str">
        <f>IF(Tabela3[[#This Row],[Saldo Estoque]]&lt;Tabela3[[#This Row],[Estoque Mínimo]],"Sim","")</f>
        <v/>
      </c>
      <c r="H58" s="33">
        <f>Tabela3[[#This Row],[Saldo Estoque]]*Tabela3[[#This Row],[Valor]]</f>
        <v>0</v>
      </c>
    </row>
    <row r="59" spans="1:8" x14ac:dyDescent="0.35">
      <c r="A59" s="1">
        <v>58</v>
      </c>
      <c r="F59" s="9">
        <f>SUMIFS(BDMovEstoque!C:C,BDMovEstoque!A:A,Tabela3[[#This Row],[Código]],BDMovEstoque!G:G,"Entrada")-SUMIFS(BDMovEstoque!C:C,BDMovEstoque!A:A,Tabela3[[#This Row],[Código]],BDMovEstoque!G:G,"Saída")</f>
        <v>0</v>
      </c>
      <c r="G59" t="str">
        <f>IF(Tabela3[[#This Row],[Saldo Estoque]]&lt;Tabela3[[#This Row],[Estoque Mínimo]],"Sim","")</f>
        <v/>
      </c>
      <c r="H59" s="33">
        <f>Tabela3[[#This Row],[Saldo Estoque]]*Tabela3[[#This Row],[Valor]]</f>
        <v>0</v>
      </c>
    </row>
    <row r="60" spans="1:8" x14ac:dyDescent="0.35">
      <c r="A60" s="1">
        <v>59</v>
      </c>
      <c r="F60" s="9">
        <f>SUMIFS(BDMovEstoque!C:C,BDMovEstoque!A:A,Tabela3[[#This Row],[Código]],BDMovEstoque!G:G,"Entrada")-SUMIFS(BDMovEstoque!C:C,BDMovEstoque!A:A,Tabela3[[#This Row],[Código]],BDMovEstoque!G:G,"Saída")</f>
        <v>0</v>
      </c>
      <c r="G60" t="str">
        <f>IF(Tabela3[[#This Row],[Saldo Estoque]]&lt;Tabela3[[#This Row],[Estoque Mínimo]],"Sim","")</f>
        <v/>
      </c>
      <c r="H60" s="33">
        <f>Tabela3[[#This Row],[Saldo Estoque]]*Tabela3[[#This Row],[Valor]]</f>
        <v>0</v>
      </c>
    </row>
    <row r="61" spans="1:8" x14ac:dyDescent="0.35">
      <c r="A61" s="1">
        <v>60</v>
      </c>
      <c r="F61" s="9">
        <f>SUMIFS(BDMovEstoque!C:C,BDMovEstoque!A:A,Tabela3[[#This Row],[Código]],BDMovEstoque!G:G,"Entrada")-SUMIFS(BDMovEstoque!C:C,BDMovEstoque!A:A,Tabela3[[#This Row],[Código]],BDMovEstoque!G:G,"Saída")</f>
        <v>0</v>
      </c>
      <c r="G61" t="str">
        <f>IF(Tabela3[[#This Row],[Saldo Estoque]]&lt;Tabela3[[#This Row],[Estoque Mínimo]],"Sim","")</f>
        <v/>
      </c>
      <c r="H61" s="33">
        <f>Tabela3[[#This Row],[Saldo Estoque]]*Tabela3[[#This Row],[Valor]]</f>
        <v>0</v>
      </c>
    </row>
    <row r="62" spans="1:8" x14ac:dyDescent="0.35">
      <c r="A62" s="1">
        <v>61</v>
      </c>
      <c r="F62" s="9">
        <f>SUMIFS(BDMovEstoque!C:C,BDMovEstoque!A:A,Tabela3[[#This Row],[Código]],BDMovEstoque!G:G,"Entrada")-SUMIFS(BDMovEstoque!C:C,BDMovEstoque!A:A,Tabela3[[#This Row],[Código]],BDMovEstoque!G:G,"Saída")</f>
        <v>0</v>
      </c>
      <c r="G62" t="str">
        <f>IF(Tabela3[[#This Row],[Saldo Estoque]]&lt;Tabela3[[#This Row],[Estoque Mínimo]],"Sim","")</f>
        <v/>
      </c>
      <c r="H62" s="33">
        <f>Tabela3[[#This Row],[Saldo Estoque]]*Tabela3[[#This Row],[Valor]]</f>
        <v>0</v>
      </c>
    </row>
    <row r="63" spans="1:8" x14ac:dyDescent="0.35">
      <c r="A63" s="1">
        <v>62</v>
      </c>
      <c r="F63" s="9">
        <f>SUMIFS(BDMovEstoque!C:C,BDMovEstoque!A:A,Tabela3[[#This Row],[Código]],BDMovEstoque!G:G,"Entrada")-SUMIFS(BDMovEstoque!C:C,BDMovEstoque!A:A,Tabela3[[#This Row],[Código]],BDMovEstoque!G:G,"Saída")</f>
        <v>0</v>
      </c>
      <c r="G63" t="str">
        <f>IF(Tabela3[[#This Row],[Saldo Estoque]]&lt;Tabela3[[#This Row],[Estoque Mínimo]],"Sim","")</f>
        <v/>
      </c>
      <c r="H63" s="33">
        <f>Tabela3[[#This Row],[Saldo Estoque]]*Tabela3[[#This Row],[Valor]]</f>
        <v>0</v>
      </c>
    </row>
    <row r="64" spans="1:8" x14ac:dyDescent="0.35">
      <c r="A64" s="1">
        <v>63</v>
      </c>
      <c r="F64" s="9">
        <f>SUMIFS(BDMovEstoque!C:C,BDMovEstoque!A:A,Tabela3[[#This Row],[Código]],BDMovEstoque!G:G,"Entrada")-SUMIFS(BDMovEstoque!C:C,BDMovEstoque!A:A,Tabela3[[#This Row],[Código]],BDMovEstoque!G:G,"Saída")</f>
        <v>0</v>
      </c>
      <c r="G64" t="str">
        <f>IF(Tabela3[[#This Row],[Saldo Estoque]]&lt;Tabela3[[#This Row],[Estoque Mínimo]],"Sim","")</f>
        <v/>
      </c>
      <c r="H64" s="33">
        <f>Tabela3[[#This Row],[Saldo Estoque]]*Tabela3[[#This Row],[Valor]]</f>
        <v>0</v>
      </c>
    </row>
    <row r="65" spans="1:8" x14ac:dyDescent="0.35">
      <c r="A65" s="1">
        <v>64</v>
      </c>
      <c r="F65" s="9">
        <f>SUMIFS(BDMovEstoque!C:C,BDMovEstoque!A:A,Tabela3[[#This Row],[Código]],BDMovEstoque!G:G,"Entrada")-SUMIFS(BDMovEstoque!C:C,BDMovEstoque!A:A,Tabela3[[#This Row],[Código]],BDMovEstoque!G:G,"Saída")</f>
        <v>0</v>
      </c>
      <c r="G65" t="str">
        <f>IF(Tabela3[[#This Row],[Saldo Estoque]]&lt;Tabela3[[#This Row],[Estoque Mínimo]],"Sim","")</f>
        <v/>
      </c>
      <c r="H65" s="33">
        <f>Tabela3[[#This Row],[Saldo Estoque]]*Tabela3[[#This Row],[Valor]]</f>
        <v>0</v>
      </c>
    </row>
    <row r="66" spans="1:8" x14ac:dyDescent="0.35">
      <c r="A66" s="1">
        <v>65</v>
      </c>
      <c r="F66" s="9">
        <f>SUMIFS(BDMovEstoque!C:C,BDMovEstoque!A:A,Tabela3[[#This Row],[Código]],BDMovEstoque!G:G,"Entrada")-SUMIFS(BDMovEstoque!C:C,BDMovEstoque!A:A,Tabela3[[#This Row],[Código]],BDMovEstoque!G:G,"Saída")</f>
        <v>0</v>
      </c>
      <c r="G66" t="str">
        <f>IF(Tabela3[[#This Row],[Saldo Estoque]]&lt;Tabela3[[#This Row],[Estoque Mínimo]],"Sim","")</f>
        <v/>
      </c>
      <c r="H66" s="33">
        <f>Tabela3[[#This Row],[Saldo Estoque]]*Tabela3[[#This Row],[Valor]]</f>
        <v>0</v>
      </c>
    </row>
    <row r="67" spans="1:8" x14ac:dyDescent="0.35">
      <c r="A67" s="1">
        <v>66</v>
      </c>
      <c r="F67" s="9">
        <f>SUMIFS(BDMovEstoque!C:C,BDMovEstoque!A:A,Tabela3[[#This Row],[Código]],BDMovEstoque!G:G,"Entrada")-SUMIFS(BDMovEstoque!C:C,BDMovEstoque!A:A,Tabela3[[#This Row],[Código]],BDMovEstoque!G:G,"Saída")</f>
        <v>0</v>
      </c>
      <c r="G67" t="str">
        <f>IF(Tabela3[[#This Row],[Saldo Estoque]]&lt;Tabela3[[#This Row],[Estoque Mínimo]],"Sim","")</f>
        <v/>
      </c>
      <c r="H67" s="33">
        <f>Tabela3[[#This Row],[Saldo Estoque]]*Tabela3[[#This Row],[Valor]]</f>
        <v>0</v>
      </c>
    </row>
    <row r="68" spans="1:8" x14ac:dyDescent="0.35">
      <c r="A68" s="1">
        <v>67</v>
      </c>
      <c r="F68" s="9">
        <f>SUMIFS(BDMovEstoque!C:C,BDMovEstoque!A:A,Tabela3[[#This Row],[Código]],BDMovEstoque!G:G,"Entrada")-SUMIFS(BDMovEstoque!C:C,BDMovEstoque!A:A,Tabela3[[#This Row],[Código]],BDMovEstoque!G:G,"Saída")</f>
        <v>0</v>
      </c>
      <c r="G68" t="str">
        <f>IF(Tabela3[[#This Row],[Saldo Estoque]]&lt;Tabela3[[#This Row],[Estoque Mínimo]],"Sim","")</f>
        <v/>
      </c>
      <c r="H68" s="33">
        <f>Tabela3[[#This Row],[Saldo Estoque]]*Tabela3[[#This Row],[Valor]]</f>
        <v>0</v>
      </c>
    </row>
    <row r="69" spans="1:8" x14ac:dyDescent="0.35">
      <c r="A69" s="1">
        <v>68</v>
      </c>
      <c r="F69" s="9">
        <f>SUMIFS(BDMovEstoque!C:C,BDMovEstoque!A:A,Tabela3[[#This Row],[Código]],BDMovEstoque!G:G,"Entrada")-SUMIFS(BDMovEstoque!C:C,BDMovEstoque!A:A,Tabela3[[#This Row],[Código]],BDMovEstoque!G:G,"Saída")</f>
        <v>0</v>
      </c>
      <c r="G69" t="str">
        <f>IF(Tabela3[[#This Row],[Saldo Estoque]]&lt;Tabela3[[#This Row],[Estoque Mínimo]],"Sim","")</f>
        <v/>
      </c>
      <c r="H69" s="33">
        <f>Tabela3[[#This Row],[Saldo Estoque]]*Tabela3[[#This Row],[Valor]]</f>
        <v>0</v>
      </c>
    </row>
    <row r="70" spans="1:8" x14ac:dyDescent="0.35">
      <c r="A70" s="1">
        <v>69</v>
      </c>
      <c r="F70" s="9">
        <f>SUMIFS(BDMovEstoque!C:C,BDMovEstoque!A:A,Tabela3[[#This Row],[Código]],BDMovEstoque!G:G,"Entrada")-SUMIFS(BDMovEstoque!C:C,BDMovEstoque!A:A,Tabela3[[#This Row],[Código]],BDMovEstoque!G:G,"Saída")</f>
        <v>0</v>
      </c>
      <c r="G70" t="str">
        <f>IF(Tabela3[[#This Row],[Saldo Estoque]]&lt;Tabela3[[#This Row],[Estoque Mínimo]],"Sim","")</f>
        <v/>
      </c>
      <c r="H70" s="33">
        <f>Tabela3[[#This Row],[Saldo Estoque]]*Tabela3[[#This Row],[Valor]]</f>
        <v>0</v>
      </c>
    </row>
    <row r="71" spans="1:8" x14ac:dyDescent="0.35">
      <c r="A71" s="1">
        <v>70</v>
      </c>
      <c r="F71" s="9">
        <f>SUMIFS(BDMovEstoque!C:C,BDMovEstoque!A:A,Tabela3[[#This Row],[Código]],BDMovEstoque!G:G,"Entrada")-SUMIFS(BDMovEstoque!C:C,BDMovEstoque!A:A,Tabela3[[#This Row],[Código]],BDMovEstoque!G:G,"Saída")</f>
        <v>0</v>
      </c>
      <c r="G71" t="str">
        <f>IF(Tabela3[[#This Row],[Saldo Estoque]]&lt;Tabela3[[#This Row],[Estoque Mínimo]],"Sim","")</f>
        <v/>
      </c>
      <c r="H71" s="33">
        <f>Tabela3[[#This Row],[Saldo Estoque]]*Tabela3[[#This Row],[Valor]]</f>
        <v>0</v>
      </c>
    </row>
    <row r="72" spans="1:8" x14ac:dyDescent="0.35">
      <c r="A72" s="1">
        <v>71</v>
      </c>
      <c r="F72" s="9">
        <f>SUMIFS(BDMovEstoque!C:C,BDMovEstoque!A:A,Tabela3[[#This Row],[Código]],BDMovEstoque!G:G,"Entrada")-SUMIFS(BDMovEstoque!C:C,BDMovEstoque!A:A,Tabela3[[#This Row],[Código]],BDMovEstoque!G:G,"Saída")</f>
        <v>0</v>
      </c>
      <c r="G72" t="str">
        <f>IF(Tabela3[[#This Row],[Saldo Estoque]]&lt;Tabela3[[#This Row],[Estoque Mínimo]],"Sim","")</f>
        <v/>
      </c>
      <c r="H72" s="33">
        <f>Tabela3[[#This Row],[Saldo Estoque]]*Tabela3[[#This Row],[Valor]]</f>
        <v>0</v>
      </c>
    </row>
    <row r="73" spans="1:8" x14ac:dyDescent="0.35">
      <c r="A73" s="1">
        <v>72</v>
      </c>
      <c r="F73" s="9">
        <f>SUMIFS(BDMovEstoque!C:C,BDMovEstoque!A:A,Tabela3[[#This Row],[Código]],BDMovEstoque!G:G,"Entrada")-SUMIFS(BDMovEstoque!C:C,BDMovEstoque!A:A,Tabela3[[#This Row],[Código]],BDMovEstoque!G:G,"Saída")</f>
        <v>0</v>
      </c>
      <c r="G73" t="str">
        <f>IF(Tabela3[[#This Row],[Saldo Estoque]]&lt;Tabela3[[#This Row],[Estoque Mínimo]],"Sim","")</f>
        <v/>
      </c>
      <c r="H73" s="33">
        <f>Tabela3[[#This Row],[Saldo Estoque]]*Tabela3[[#This Row],[Valor]]</f>
        <v>0</v>
      </c>
    </row>
    <row r="74" spans="1:8" x14ac:dyDescent="0.35">
      <c r="A74" s="1">
        <v>73</v>
      </c>
      <c r="F74" s="9">
        <f>SUMIFS(BDMovEstoque!C:C,BDMovEstoque!A:A,Tabela3[[#This Row],[Código]],BDMovEstoque!G:G,"Entrada")-SUMIFS(BDMovEstoque!C:C,BDMovEstoque!A:A,Tabela3[[#This Row],[Código]],BDMovEstoque!G:G,"Saída")</f>
        <v>0</v>
      </c>
      <c r="G74" t="str">
        <f>IF(Tabela3[[#This Row],[Saldo Estoque]]&lt;Tabela3[[#This Row],[Estoque Mínimo]],"Sim","")</f>
        <v/>
      </c>
      <c r="H74" s="33">
        <f>Tabela3[[#This Row],[Saldo Estoque]]*Tabela3[[#This Row],[Valor]]</f>
        <v>0</v>
      </c>
    </row>
    <row r="75" spans="1:8" x14ac:dyDescent="0.35">
      <c r="A75" s="1">
        <v>74</v>
      </c>
      <c r="F75" s="9">
        <f>SUMIFS(BDMovEstoque!C:C,BDMovEstoque!A:A,Tabela3[[#This Row],[Código]],BDMovEstoque!G:G,"Entrada")-SUMIFS(BDMovEstoque!C:C,BDMovEstoque!A:A,Tabela3[[#This Row],[Código]],BDMovEstoque!G:G,"Saída")</f>
        <v>0</v>
      </c>
      <c r="G75" t="str">
        <f>IF(Tabela3[[#This Row],[Saldo Estoque]]&lt;Tabela3[[#This Row],[Estoque Mínimo]],"Sim","")</f>
        <v/>
      </c>
      <c r="H75" s="33">
        <f>Tabela3[[#This Row],[Saldo Estoque]]*Tabela3[[#This Row],[Valor]]</f>
        <v>0</v>
      </c>
    </row>
    <row r="76" spans="1:8" x14ac:dyDescent="0.35">
      <c r="A76" s="1">
        <v>75</v>
      </c>
      <c r="F76" s="9">
        <f>SUMIFS(BDMovEstoque!C:C,BDMovEstoque!A:A,Tabela3[[#This Row],[Código]],BDMovEstoque!G:G,"Entrada")-SUMIFS(BDMovEstoque!C:C,BDMovEstoque!A:A,Tabela3[[#This Row],[Código]],BDMovEstoque!G:G,"Saída")</f>
        <v>0</v>
      </c>
      <c r="G76" t="str">
        <f>IF(Tabela3[[#This Row],[Saldo Estoque]]&lt;Tabela3[[#This Row],[Estoque Mínimo]],"Sim","")</f>
        <v/>
      </c>
      <c r="H76" s="33">
        <f>Tabela3[[#This Row],[Saldo Estoque]]*Tabela3[[#This Row],[Valor]]</f>
        <v>0</v>
      </c>
    </row>
    <row r="77" spans="1:8" x14ac:dyDescent="0.35">
      <c r="A77" s="1">
        <v>76</v>
      </c>
      <c r="F77" s="9">
        <f>SUMIFS(BDMovEstoque!C:C,BDMovEstoque!A:A,Tabela3[[#This Row],[Código]],BDMovEstoque!G:G,"Entrada")-SUMIFS(BDMovEstoque!C:C,BDMovEstoque!A:A,Tabela3[[#This Row],[Código]],BDMovEstoque!G:G,"Saída")</f>
        <v>0</v>
      </c>
      <c r="G77" t="str">
        <f>IF(Tabela3[[#This Row],[Saldo Estoque]]&lt;Tabela3[[#This Row],[Estoque Mínimo]],"Sim","")</f>
        <v/>
      </c>
      <c r="H77" s="33">
        <f>Tabela3[[#This Row],[Saldo Estoque]]*Tabela3[[#This Row],[Valor]]</f>
        <v>0</v>
      </c>
    </row>
    <row r="78" spans="1:8" x14ac:dyDescent="0.35">
      <c r="A78" s="1">
        <v>77</v>
      </c>
      <c r="F78" s="9">
        <f>SUMIFS(BDMovEstoque!C:C,BDMovEstoque!A:A,Tabela3[[#This Row],[Código]],BDMovEstoque!G:G,"Entrada")-SUMIFS(BDMovEstoque!C:C,BDMovEstoque!A:A,Tabela3[[#This Row],[Código]],BDMovEstoque!G:G,"Saída")</f>
        <v>0</v>
      </c>
      <c r="G78" t="str">
        <f>IF(Tabela3[[#This Row],[Saldo Estoque]]&lt;Tabela3[[#This Row],[Estoque Mínimo]],"Sim","")</f>
        <v/>
      </c>
      <c r="H78" s="33">
        <f>Tabela3[[#This Row],[Saldo Estoque]]*Tabela3[[#This Row],[Valor]]</f>
        <v>0</v>
      </c>
    </row>
    <row r="79" spans="1:8" x14ac:dyDescent="0.35">
      <c r="A79" s="1">
        <v>78</v>
      </c>
      <c r="F79" s="9">
        <f>SUMIFS(BDMovEstoque!C:C,BDMovEstoque!A:A,Tabela3[[#This Row],[Código]],BDMovEstoque!G:G,"Entrada")-SUMIFS(BDMovEstoque!C:C,BDMovEstoque!A:A,Tabela3[[#This Row],[Código]],BDMovEstoque!G:G,"Saída")</f>
        <v>0</v>
      </c>
      <c r="G79" t="str">
        <f>IF(Tabela3[[#This Row],[Saldo Estoque]]&lt;Tabela3[[#This Row],[Estoque Mínimo]],"Sim","")</f>
        <v/>
      </c>
      <c r="H79" s="33">
        <f>Tabela3[[#This Row],[Saldo Estoque]]*Tabela3[[#This Row],[Valor]]</f>
        <v>0</v>
      </c>
    </row>
    <row r="80" spans="1:8" x14ac:dyDescent="0.35">
      <c r="A80" s="1">
        <v>79</v>
      </c>
      <c r="F80" s="9">
        <f>SUMIFS(BDMovEstoque!C:C,BDMovEstoque!A:A,Tabela3[[#This Row],[Código]],BDMovEstoque!G:G,"Entrada")-SUMIFS(BDMovEstoque!C:C,BDMovEstoque!A:A,Tabela3[[#This Row],[Código]],BDMovEstoque!G:G,"Saída")</f>
        <v>0</v>
      </c>
      <c r="G80" t="str">
        <f>IF(Tabela3[[#This Row],[Saldo Estoque]]&lt;Tabela3[[#This Row],[Estoque Mínimo]],"Sim","")</f>
        <v/>
      </c>
      <c r="H80" s="33">
        <f>Tabela3[[#This Row],[Saldo Estoque]]*Tabela3[[#This Row],[Valor]]</f>
        <v>0</v>
      </c>
    </row>
    <row r="81" spans="1:8" x14ac:dyDescent="0.35">
      <c r="A81" s="1">
        <v>80</v>
      </c>
      <c r="F81" s="9">
        <f>SUMIFS(BDMovEstoque!C:C,BDMovEstoque!A:A,Tabela3[[#This Row],[Código]],BDMovEstoque!G:G,"Entrada")-SUMIFS(BDMovEstoque!C:C,BDMovEstoque!A:A,Tabela3[[#This Row],[Código]],BDMovEstoque!G:G,"Saída")</f>
        <v>0</v>
      </c>
      <c r="G81" t="str">
        <f>IF(Tabela3[[#This Row],[Saldo Estoque]]&lt;Tabela3[[#This Row],[Estoque Mínimo]],"Sim","")</f>
        <v/>
      </c>
      <c r="H81" s="33">
        <f>Tabela3[[#This Row],[Saldo Estoque]]*Tabela3[[#This Row],[Valor]]</f>
        <v>0</v>
      </c>
    </row>
    <row r="82" spans="1:8" x14ac:dyDescent="0.35">
      <c r="A82" s="1">
        <v>81</v>
      </c>
      <c r="F82" s="9">
        <f>SUMIFS(BDMovEstoque!C:C,BDMovEstoque!A:A,Tabela3[[#This Row],[Código]],BDMovEstoque!G:G,"Entrada")-SUMIFS(BDMovEstoque!C:C,BDMovEstoque!A:A,Tabela3[[#This Row],[Código]],BDMovEstoque!G:G,"Saída")</f>
        <v>0</v>
      </c>
      <c r="G82" t="str">
        <f>IF(Tabela3[[#This Row],[Saldo Estoque]]&lt;Tabela3[[#This Row],[Estoque Mínimo]],"Sim","")</f>
        <v/>
      </c>
      <c r="H82" s="33">
        <f>Tabela3[[#This Row],[Saldo Estoque]]*Tabela3[[#This Row],[Valor]]</f>
        <v>0</v>
      </c>
    </row>
    <row r="83" spans="1:8" x14ac:dyDescent="0.35">
      <c r="A83" s="1">
        <v>82</v>
      </c>
      <c r="F83" s="9">
        <f>SUMIFS(BDMovEstoque!C:C,BDMovEstoque!A:A,Tabela3[[#This Row],[Código]],BDMovEstoque!G:G,"Entrada")-SUMIFS(BDMovEstoque!C:C,BDMovEstoque!A:A,Tabela3[[#This Row],[Código]],BDMovEstoque!G:G,"Saída")</f>
        <v>0</v>
      </c>
      <c r="G83" t="str">
        <f>IF(Tabela3[[#This Row],[Saldo Estoque]]&lt;Tabela3[[#This Row],[Estoque Mínimo]],"Sim","")</f>
        <v/>
      </c>
      <c r="H83" s="33">
        <f>Tabela3[[#This Row],[Saldo Estoque]]*Tabela3[[#This Row],[Valor]]</f>
        <v>0</v>
      </c>
    </row>
    <row r="84" spans="1:8" x14ac:dyDescent="0.35">
      <c r="A84" s="1">
        <v>83</v>
      </c>
      <c r="F84" s="9">
        <f>SUMIFS(BDMovEstoque!C:C,BDMovEstoque!A:A,Tabela3[[#This Row],[Código]],BDMovEstoque!G:G,"Entrada")-SUMIFS(BDMovEstoque!C:C,BDMovEstoque!A:A,Tabela3[[#This Row],[Código]],BDMovEstoque!G:G,"Saída")</f>
        <v>0</v>
      </c>
      <c r="G84" t="str">
        <f>IF(Tabela3[[#This Row],[Saldo Estoque]]&lt;Tabela3[[#This Row],[Estoque Mínimo]],"Sim","")</f>
        <v/>
      </c>
      <c r="H84" s="33">
        <f>Tabela3[[#This Row],[Saldo Estoque]]*Tabela3[[#This Row],[Valor]]</f>
        <v>0</v>
      </c>
    </row>
    <row r="85" spans="1:8" x14ac:dyDescent="0.35">
      <c r="A85" s="1">
        <v>84</v>
      </c>
      <c r="F85" s="9">
        <f>SUMIFS(BDMovEstoque!C:C,BDMovEstoque!A:A,Tabela3[[#This Row],[Código]],BDMovEstoque!G:G,"Entrada")-SUMIFS(BDMovEstoque!C:C,BDMovEstoque!A:A,Tabela3[[#This Row],[Código]],BDMovEstoque!G:G,"Saída")</f>
        <v>0</v>
      </c>
      <c r="G85" t="str">
        <f>IF(Tabela3[[#This Row],[Saldo Estoque]]&lt;Tabela3[[#This Row],[Estoque Mínimo]],"Sim","")</f>
        <v/>
      </c>
      <c r="H85" s="33">
        <f>Tabela3[[#This Row],[Saldo Estoque]]*Tabela3[[#This Row],[Valor]]</f>
        <v>0</v>
      </c>
    </row>
    <row r="86" spans="1:8" x14ac:dyDescent="0.35">
      <c r="A86" s="1">
        <v>85</v>
      </c>
      <c r="F86" s="9">
        <f>SUMIFS(BDMovEstoque!C:C,BDMovEstoque!A:A,Tabela3[[#This Row],[Código]],BDMovEstoque!G:G,"Entrada")-SUMIFS(BDMovEstoque!C:C,BDMovEstoque!A:A,Tabela3[[#This Row],[Código]],BDMovEstoque!G:G,"Saída")</f>
        <v>0</v>
      </c>
      <c r="G86" t="str">
        <f>IF(Tabela3[[#This Row],[Saldo Estoque]]&lt;Tabela3[[#This Row],[Estoque Mínimo]],"Sim","")</f>
        <v/>
      </c>
      <c r="H86" s="33">
        <f>Tabela3[[#This Row],[Saldo Estoque]]*Tabela3[[#This Row],[Valor]]</f>
        <v>0</v>
      </c>
    </row>
    <row r="87" spans="1:8" x14ac:dyDescent="0.35">
      <c r="A87" s="1">
        <v>86</v>
      </c>
      <c r="F87" s="9">
        <f>SUMIFS(BDMovEstoque!C:C,BDMovEstoque!A:A,Tabela3[[#This Row],[Código]],BDMovEstoque!G:G,"Entrada")-SUMIFS(BDMovEstoque!C:C,BDMovEstoque!A:A,Tabela3[[#This Row],[Código]],BDMovEstoque!G:G,"Saída")</f>
        <v>0</v>
      </c>
      <c r="G87" t="str">
        <f>IF(Tabela3[[#This Row],[Saldo Estoque]]&lt;Tabela3[[#This Row],[Estoque Mínimo]],"Sim","")</f>
        <v/>
      </c>
      <c r="H87" s="33">
        <f>Tabela3[[#This Row],[Saldo Estoque]]*Tabela3[[#This Row],[Valor]]</f>
        <v>0</v>
      </c>
    </row>
    <row r="88" spans="1:8" x14ac:dyDescent="0.35">
      <c r="A88" s="1">
        <v>87</v>
      </c>
      <c r="F88" s="9">
        <f>SUMIFS(BDMovEstoque!C:C,BDMovEstoque!A:A,Tabela3[[#This Row],[Código]],BDMovEstoque!G:G,"Entrada")-SUMIFS(BDMovEstoque!C:C,BDMovEstoque!A:A,Tabela3[[#This Row],[Código]],BDMovEstoque!G:G,"Saída")</f>
        <v>0</v>
      </c>
      <c r="G88" t="str">
        <f>IF(Tabela3[[#This Row],[Saldo Estoque]]&lt;Tabela3[[#This Row],[Estoque Mínimo]],"Sim","")</f>
        <v/>
      </c>
      <c r="H88" s="33">
        <f>Tabela3[[#This Row],[Saldo Estoque]]*Tabela3[[#This Row],[Valor]]</f>
        <v>0</v>
      </c>
    </row>
    <row r="89" spans="1:8" x14ac:dyDescent="0.35">
      <c r="A89" s="1">
        <v>88</v>
      </c>
      <c r="F89" s="9">
        <f>SUMIFS(BDMovEstoque!C:C,BDMovEstoque!A:A,Tabela3[[#This Row],[Código]],BDMovEstoque!G:G,"Entrada")-SUMIFS(BDMovEstoque!C:C,BDMovEstoque!A:A,Tabela3[[#This Row],[Código]],BDMovEstoque!G:G,"Saída")</f>
        <v>0</v>
      </c>
      <c r="G89" t="str">
        <f>IF(Tabela3[[#This Row],[Saldo Estoque]]&lt;Tabela3[[#This Row],[Estoque Mínimo]],"Sim","")</f>
        <v/>
      </c>
      <c r="H89" s="33">
        <f>Tabela3[[#This Row],[Saldo Estoque]]*Tabela3[[#This Row],[Valor]]</f>
        <v>0</v>
      </c>
    </row>
    <row r="90" spans="1:8" x14ac:dyDescent="0.35">
      <c r="A90" s="1">
        <v>89</v>
      </c>
      <c r="F90" s="9">
        <f>SUMIFS(BDMovEstoque!C:C,BDMovEstoque!A:A,Tabela3[[#This Row],[Código]],BDMovEstoque!G:G,"Entrada")-SUMIFS(BDMovEstoque!C:C,BDMovEstoque!A:A,Tabela3[[#This Row],[Código]],BDMovEstoque!G:G,"Saída")</f>
        <v>0</v>
      </c>
      <c r="G90" t="str">
        <f>IF(Tabela3[[#This Row],[Saldo Estoque]]&lt;Tabela3[[#This Row],[Estoque Mínimo]],"Sim","")</f>
        <v/>
      </c>
      <c r="H90" s="33">
        <f>Tabela3[[#This Row],[Saldo Estoque]]*Tabela3[[#This Row],[Valor]]</f>
        <v>0</v>
      </c>
    </row>
    <row r="91" spans="1:8" x14ac:dyDescent="0.35">
      <c r="A91" s="1">
        <v>90</v>
      </c>
      <c r="F91" s="9">
        <f>SUMIFS(BDMovEstoque!C:C,BDMovEstoque!A:A,Tabela3[[#This Row],[Código]],BDMovEstoque!G:G,"Entrada")-SUMIFS(BDMovEstoque!C:C,BDMovEstoque!A:A,Tabela3[[#This Row],[Código]],BDMovEstoque!G:G,"Saída")</f>
        <v>0</v>
      </c>
      <c r="G91" t="str">
        <f>IF(Tabela3[[#This Row],[Saldo Estoque]]&lt;Tabela3[[#This Row],[Estoque Mínimo]],"Sim","")</f>
        <v/>
      </c>
      <c r="H91" s="33">
        <f>Tabela3[[#This Row],[Saldo Estoque]]*Tabela3[[#This Row],[Valor]]</f>
        <v>0</v>
      </c>
    </row>
    <row r="92" spans="1:8" x14ac:dyDescent="0.35">
      <c r="A92" s="1">
        <v>91</v>
      </c>
      <c r="F92" s="9">
        <f>SUMIFS(BDMovEstoque!C:C,BDMovEstoque!A:A,Tabela3[[#This Row],[Código]],BDMovEstoque!G:G,"Entrada")-SUMIFS(BDMovEstoque!C:C,BDMovEstoque!A:A,Tabela3[[#This Row],[Código]],BDMovEstoque!G:G,"Saída")</f>
        <v>0</v>
      </c>
      <c r="G92" t="str">
        <f>IF(Tabela3[[#This Row],[Saldo Estoque]]&lt;Tabela3[[#This Row],[Estoque Mínimo]],"Sim","")</f>
        <v/>
      </c>
      <c r="H92" s="33">
        <f>Tabela3[[#This Row],[Saldo Estoque]]*Tabela3[[#This Row],[Valor]]</f>
        <v>0</v>
      </c>
    </row>
    <row r="93" spans="1:8" x14ac:dyDescent="0.35">
      <c r="A93" s="1">
        <v>92</v>
      </c>
      <c r="F93" s="9">
        <f>SUMIFS(BDMovEstoque!C:C,BDMovEstoque!A:A,Tabela3[[#This Row],[Código]],BDMovEstoque!G:G,"Entrada")-SUMIFS(BDMovEstoque!C:C,BDMovEstoque!A:A,Tabela3[[#This Row],[Código]],BDMovEstoque!G:G,"Saída")</f>
        <v>0</v>
      </c>
      <c r="G93" t="str">
        <f>IF(Tabela3[[#This Row],[Saldo Estoque]]&lt;Tabela3[[#This Row],[Estoque Mínimo]],"Sim","")</f>
        <v/>
      </c>
      <c r="H93" s="33">
        <f>Tabela3[[#This Row],[Saldo Estoque]]*Tabela3[[#This Row],[Valor]]</f>
        <v>0</v>
      </c>
    </row>
    <row r="94" spans="1:8" x14ac:dyDescent="0.35">
      <c r="A94" s="1">
        <v>93</v>
      </c>
      <c r="F94" s="9">
        <f>SUMIFS(BDMovEstoque!C:C,BDMovEstoque!A:A,Tabela3[[#This Row],[Código]],BDMovEstoque!G:G,"Entrada")-SUMIFS(BDMovEstoque!C:C,BDMovEstoque!A:A,Tabela3[[#This Row],[Código]],BDMovEstoque!G:G,"Saída")</f>
        <v>0</v>
      </c>
      <c r="G94" t="str">
        <f>IF(Tabela3[[#This Row],[Saldo Estoque]]&lt;Tabela3[[#This Row],[Estoque Mínimo]],"Sim","")</f>
        <v/>
      </c>
      <c r="H94" s="33">
        <f>Tabela3[[#This Row],[Saldo Estoque]]*Tabela3[[#This Row],[Valor]]</f>
        <v>0</v>
      </c>
    </row>
    <row r="95" spans="1:8" x14ac:dyDescent="0.35">
      <c r="A95" s="1">
        <v>94</v>
      </c>
      <c r="F95" s="9">
        <f>SUMIFS(BDMovEstoque!C:C,BDMovEstoque!A:A,Tabela3[[#This Row],[Código]],BDMovEstoque!G:G,"Entrada")-SUMIFS(BDMovEstoque!C:C,BDMovEstoque!A:A,Tabela3[[#This Row],[Código]],BDMovEstoque!G:G,"Saída")</f>
        <v>0</v>
      </c>
      <c r="G95" t="str">
        <f>IF(Tabela3[[#This Row],[Saldo Estoque]]&lt;Tabela3[[#This Row],[Estoque Mínimo]],"Sim","")</f>
        <v/>
      </c>
      <c r="H95" s="33">
        <f>Tabela3[[#This Row],[Saldo Estoque]]*Tabela3[[#This Row],[Valor]]</f>
        <v>0</v>
      </c>
    </row>
    <row r="96" spans="1:8" x14ac:dyDescent="0.35">
      <c r="A96" s="1">
        <v>95</v>
      </c>
      <c r="F96" s="9">
        <f>SUMIFS(BDMovEstoque!C:C,BDMovEstoque!A:A,Tabela3[[#This Row],[Código]],BDMovEstoque!G:G,"Entrada")-SUMIFS(BDMovEstoque!C:C,BDMovEstoque!A:A,Tabela3[[#This Row],[Código]],BDMovEstoque!G:G,"Saída")</f>
        <v>0</v>
      </c>
      <c r="G96" t="str">
        <f>IF(Tabela3[[#This Row],[Saldo Estoque]]&lt;Tabela3[[#This Row],[Estoque Mínimo]],"Sim","")</f>
        <v/>
      </c>
      <c r="H96" s="33">
        <f>Tabela3[[#This Row],[Saldo Estoque]]*Tabela3[[#This Row],[Valor]]</f>
        <v>0</v>
      </c>
    </row>
    <row r="97" spans="1:8" x14ac:dyDescent="0.35">
      <c r="A97" s="1">
        <v>96</v>
      </c>
      <c r="F97" s="9">
        <f>SUMIFS(BDMovEstoque!C:C,BDMovEstoque!A:A,Tabela3[[#This Row],[Código]],BDMovEstoque!G:G,"Entrada")-SUMIFS(BDMovEstoque!C:C,BDMovEstoque!A:A,Tabela3[[#This Row],[Código]],BDMovEstoque!G:G,"Saída")</f>
        <v>0</v>
      </c>
      <c r="G97" t="str">
        <f>IF(Tabela3[[#This Row],[Saldo Estoque]]&lt;Tabela3[[#This Row],[Estoque Mínimo]],"Sim","")</f>
        <v/>
      </c>
      <c r="H97" s="33">
        <f>Tabela3[[#This Row],[Saldo Estoque]]*Tabela3[[#This Row],[Valor]]</f>
        <v>0</v>
      </c>
    </row>
    <row r="98" spans="1:8" x14ac:dyDescent="0.35">
      <c r="A98" s="1">
        <v>97</v>
      </c>
      <c r="F98" s="9">
        <f>SUMIFS(BDMovEstoque!C:C,BDMovEstoque!A:A,Tabela3[[#This Row],[Código]],BDMovEstoque!G:G,"Entrada")-SUMIFS(BDMovEstoque!C:C,BDMovEstoque!A:A,Tabela3[[#This Row],[Código]],BDMovEstoque!G:G,"Saída")</f>
        <v>0</v>
      </c>
      <c r="G98" t="str">
        <f>IF(Tabela3[[#This Row],[Saldo Estoque]]&lt;Tabela3[[#This Row],[Estoque Mínimo]],"Sim","")</f>
        <v/>
      </c>
      <c r="H98" s="33">
        <f>Tabela3[[#This Row],[Saldo Estoque]]*Tabela3[[#This Row],[Valor]]</f>
        <v>0</v>
      </c>
    </row>
    <row r="99" spans="1:8" x14ac:dyDescent="0.35">
      <c r="A99" s="1">
        <v>98</v>
      </c>
      <c r="F99" s="9">
        <f>SUMIFS(BDMovEstoque!C:C,BDMovEstoque!A:A,Tabela3[[#This Row],[Código]],BDMovEstoque!G:G,"Entrada")-SUMIFS(BDMovEstoque!C:C,BDMovEstoque!A:A,Tabela3[[#This Row],[Código]],BDMovEstoque!G:G,"Saída")</f>
        <v>0</v>
      </c>
      <c r="G99" t="str">
        <f>IF(Tabela3[[#This Row],[Saldo Estoque]]&lt;Tabela3[[#This Row],[Estoque Mínimo]],"Sim","")</f>
        <v/>
      </c>
      <c r="H99" s="33">
        <f>Tabela3[[#This Row],[Saldo Estoque]]*Tabela3[[#This Row],[Valor]]</f>
        <v>0</v>
      </c>
    </row>
    <row r="100" spans="1:8" x14ac:dyDescent="0.35">
      <c r="A100" s="1">
        <v>99</v>
      </c>
      <c r="F100" s="9">
        <f>SUMIFS(BDMovEstoque!C:C,BDMovEstoque!A:A,Tabela3[[#This Row],[Código]],BDMovEstoque!G:G,"Entrada")-SUMIFS(BDMovEstoque!C:C,BDMovEstoque!A:A,Tabela3[[#This Row],[Código]],BDMovEstoque!G:G,"Saída")</f>
        <v>0</v>
      </c>
      <c r="G100" t="str">
        <f>IF(Tabela3[[#This Row],[Saldo Estoque]]&lt;Tabela3[[#This Row],[Estoque Mínimo]],"Sim","")</f>
        <v/>
      </c>
      <c r="H100" s="33">
        <f>Tabela3[[#This Row],[Saldo Estoque]]*Tabela3[[#This Row],[Valor]]</f>
        <v>0</v>
      </c>
    </row>
    <row r="101" spans="1:8" x14ac:dyDescent="0.35">
      <c r="A101" s="1">
        <v>100</v>
      </c>
      <c r="F101" s="9">
        <f>SUMIFS(BDMovEstoque!C:C,BDMovEstoque!A:A,Tabela3[[#This Row],[Código]],BDMovEstoque!G:G,"Entrada")-SUMIFS(BDMovEstoque!C:C,BDMovEstoque!A:A,Tabela3[[#This Row],[Código]],BDMovEstoque!G:G,"Saída")</f>
        <v>0</v>
      </c>
      <c r="G101" t="str">
        <f>IF(Tabela3[[#This Row],[Saldo Estoque]]&lt;Tabela3[[#This Row],[Estoque Mínimo]],"Sim","")</f>
        <v/>
      </c>
      <c r="H101" s="33">
        <f>Tabela3[[#This Row],[Saldo Estoque]]*Tabela3[[#This Row],[Valor]]</f>
        <v>0</v>
      </c>
    </row>
    <row r="102" spans="1:8" x14ac:dyDescent="0.35">
      <c r="A102" s="1">
        <v>101</v>
      </c>
      <c r="F102" s="9">
        <f>SUMIFS(BDMovEstoque!C:C,BDMovEstoque!A:A,Tabela3[[#This Row],[Código]],BDMovEstoque!G:G,"Entrada")-SUMIFS(BDMovEstoque!C:C,BDMovEstoque!A:A,Tabela3[[#This Row],[Código]],BDMovEstoque!G:G,"Saída")</f>
        <v>0</v>
      </c>
      <c r="G102" t="str">
        <f>IF(Tabela3[[#This Row],[Saldo Estoque]]&lt;Tabela3[[#This Row],[Estoque Mínimo]],"Sim","")</f>
        <v/>
      </c>
      <c r="H102" s="33">
        <f>Tabela3[[#This Row],[Saldo Estoque]]*Tabela3[[#This Row],[Valor]]</f>
        <v>0</v>
      </c>
    </row>
    <row r="103" spans="1:8" x14ac:dyDescent="0.35">
      <c r="A103" s="1">
        <v>102</v>
      </c>
      <c r="F103" s="9">
        <f>SUMIFS(BDMovEstoque!C:C,BDMovEstoque!A:A,Tabela3[[#This Row],[Código]],BDMovEstoque!G:G,"Entrada")-SUMIFS(BDMovEstoque!C:C,BDMovEstoque!A:A,Tabela3[[#This Row],[Código]],BDMovEstoque!G:G,"Saída")</f>
        <v>0</v>
      </c>
      <c r="G103" t="str">
        <f>IF(Tabela3[[#This Row],[Saldo Estoque]]&lt;Tabela3[[#This Row],[Estoque Mínimo]],"Sim","")</f>
        <v/>
      </c>
      <c r="H103" s="33">
        <f>Tabela3[[#This Row],[Saldo Estoque]]*Tabela3[[#This Row],[Valor]]</f>
        <v>0</v>
      </c>
    </row>
    <row r="104" spans="1:8" x14ac:dyDescent="0.35">
      <c r="A104" s="1">
        <v>103</v>
      </c>
      <c r="F104" s="9">
        <f>SUMIFS(BDMovEstoque!C:C,BDMovEstoque!A:A,Tabela3[[#This Row],[Código]],BDMovEstoque!G:G,"Entrada")-SUMIFS(BDMovEstoque!C:C,BDMovEstoque!A:A,Tabela3[[#This Row],[Código]],BDMovEstoque!G:G,"Saída")</f>
        <v>0</v>
      </c>
      <c r="G104" t="str">
        <f>IF(Tabela3[[#This Row],[Saldo Estoque]]&lt;Tabela3[[#This Row],[Estoque Mínimo]],"Sim","")</f>
        <v/>
      </c>
      <c r="H104" s="33">
        <f>Tabela3[[#This Row],[Saldo Estoque]]*Tabela3[[#This Row],[Valor]]</f>
        <v>0</v>
      </c>
    </row>
    <row r="105" spans="1:8" x14ac:dyDescent="0.35">
      <c r="A105" s="1">
        <v>104</v>
      </c>
      <c r="F105" s="9">
        <f>SUMIFS(BDMovEstoque!C:C,BDMovEstoque!A:A,Tabela3[[#This Row],[Código]],BDMovEstoque!G:G,"Entrada")-SUMIFS(BDMovEstoque!C:C,BDMovEstoque!A:A,Tabela3[[#This Row],[Código]],BDMovEstoque!G:G,"Saída")</f>
        <v>0</v>
      </c>
      <c r="G105" t="str">
        <f>IF(Tabela3[[#This Row],[Saldo Estoque]]&lt;Tabela3[[#This Row],[Estoque Mínimo]],"Sim","")</f>
        <v/>
      </c>
      <c r="H105" s="33">
        <f>Tabela3[[#This Row],[Saldo Estoque]]*Tabela3[[#This Row],[Valor]]</f>
        <v>0</v>
      </c>
    </row>
    <row r="106" spans="1:8" x14ac:dyDescent="0.35">
      <c r="A106" s="1">
        <v>105</v>
      </c>
      <c r="F106" s="9">
        <f>SUMIFS(BDMovEstoque!C:C,BDMovEstoque!A:A,Tabela3[[#This Row],[Código]],BDMovEstoque!G:G,"Entrada")-SUMIFS(BDMovEstoque!C:C,BDMovEstoque!A:A,Tabela3[[#This Row],[Código]],BDMovEstoque!G:G,"Saída")</f>
        <v>0</v>
      </c>
      <c r="G106" t="str">
        <f>IF(Tabela3[[#This Row],[Saldo Estoque]]&lt;Tabela3[[#This Row],[Estoque Mínimo]],"Sim","")</f>
        <v/>
      </c>
      <c r="H106" s="33">
        <f>Tabela3[[#This Row],[Saldo Estoque]]*Tabela3[[#This Row],[Valor]]</f>
        <v>0</v>
      </c>
    </row>
    <row r="107" spans="1:8" x14ac:dyDescent="0.35">
      <c r="A107" s="1">
        <v>106</v>
      </c>
      <c r="F107" s="9">
        <f>SUMIFS(BDMovEstoque!C:C,BDMovEstoque!A:A,Tabela3[[#This Row],[Código]],BDMovEstoque!G:G,"Entrada")-SUMIFS(BDMovEstoque!C:C,BDMovEstoque!A:A,Tabela3[[#This Row],[Código]],BDMovEstoque!G:G,"Saída")</f>
        <v>0</v>
      </c>
      <c r="G107" t="str">
        <f>IF(Tabela3[[#This Row],[Saldo Estoque]]&lt;Tabela3[[#This Row],[Estoque Mínimo]],"Sim","")</f>
        <v/>
      </c>
      <c r="H107" s="33">
        <f>Tabela3[[#This Row],[Saldo Estoque]]*Tabela3[[#This Row],[Valor]]</f>
        <v>0</v>
      </c>
    </row>
    <row r="108" spans="1:8" x14ac:dyDescent="0.35">
      <c r="A108" s="1">
        <v>107</v>
      </c>
      <c r="F108" s="9">
        <f>SUMIFS(BDMovEstoque!C:C,BDMovEstoque!A:A,Tabela3[[#This Row],[Código]],BDMovEstoque!G:G,"Entrada")-SUMIFS(BDMovEstoque!C:C,BDMovEstoque!A:A,Tabela3[[#This Row],[Código]],BDMovEstoque!G:G,"Saída")</f>
        <v>0</v>
      </c>
      <c r="G108" t="str">
        <f>IF(Tabela3[[#This Row],[Saldo Estoque]]&lt;Tabela3[[#This Row],[Estoque Mínimo]],"Sim","")</f>
        <v/>
      </c>
      <c r="H108" s="33">
        <f>Tabela3[[#This Row],[Saldo Estoque]]*Tabela3[[#This Row],[Valor]]</f>
        <v>0</v>
      </c>
    </row>
    <row r="109" spans="1:8" x14ac:dyDescent="0.35">
      <c r="A109" s="1">
        <v>108</v>
      </c>
      <c r="F109" s="9">
        <f>SUMIFS(BDMovEstoque!C:C,BDMovEstoque!A:A,Tabela3[[#This Row],[Código]],BDMovEstoque!G:G,"Entrada")-SUMIFS(BDMovEstoque!C:C,BDMovEstoque!A:A,Tabela3[[#This Row],[Código]],BDMovEstoque!G:G,"Saída")</f>
        <v>0</v>
      </c>
      <c r="G109" t="str">
        <f>IF(Tabela3[[#This Row],[Saldo Estoque]]&lt;Tabela3[[#This Row],[Estoque Mínimo]],"Sim","")</f>
        <v/>
      </c>
      <c r="H109" s="33">
        <f>Tabela3[[#This Row],[Saldo Estoque]]*Tabela3[[#This Row],[Valor]]</f>
        <v>0</v>
      </c>
    </row>
    <row r="110" spans="1:8" x14ac:dyDescent="0.35">
      <c r="A110" s="1">
        <v>109</v>
      </c>
      <c r="F110" s="9">
        <f>SUMIFS(BDMovEstoque!C:C,BDMovEstoque!A:A,Tabela3[[#This Row],[Código]],BDMovEstoque!G:G,"Entrada")-SUMIFS(BDMovEstoque!C:C,BDMovEstoque!A:A,Tabela3[[#This Row],[Código]],BDMovEstoque!G:G,"Saída")</f>
        <v>0</v>
      </c>
      <c r="G110" t="str">
        <f>IF(Tabela3[[#This Row],[Saldo Estoque]]&lt;Tabela3[[#This Row],[Estoque Mínimo]],"Sim","")</f>
        <v/>
      </c>
      <c r="H110" s="33">
        <f>Tabela3[[#This Row],[Saldo Estoque]]*Tabela3[[#This Row],[Valor]]</f>
        <v>0</v>
      </c>
    </row>
    <row r="111" spans="1:8" x14ac:dyDescent="0.35">
      <c r="A111" s="1">
        <v>110</v>
      </c>
      <c r="F111" s="9">
        <f>SUMIFS(BDMovEstoque!C:C,BDMovEstoque!A:A,Tabela3[[#This Row],[Código]],BDMovEstoque!G:G,"Entrada")-SUMIFS(BDMovEstoque!C:C,BDMovEstoque!A:A,Tabela3[[#This Row],[Código]],BDMovEstoque!G:G,"Saída")</f>
        <v>0</v>
      </c>
      <c r="G111" t="str">
        <f>IF(Tabela3[[#This Row],[Saldo Estoque]]&lt;Tabela3[[#This Row],[Estoque Mínimo]],"Sim","")</f>
        <v/>
      </c>
      <c r="H111" s="33">
        <f>Tabela3[[#This Row],[Saldo Estoque]]*Tabela3[[#This Row],[Valor]]</f>
        <v>0</v>
      </c>
    </row>
    <row r="112" spans="1:8" x14ac:dyDescent="0.35">
      <c r="A112" s="1">
        <v>111</v>
      </c>
      <c r="F112" s="9">
        <f>SUMIFS(BDMovEstoque!C:C,BDMovEstoque!A:A,Tabela3[[#This Row],[Código]],BDMovEstoque!G:G,"Entrada")-SUMIFS(BDMovEstoque!C:C,BDMovEstoque!A:A,Tabela3[[#This Row],[Código]],BDMovEstoque!G:G,"Saída")</f>
        <v>0</v>
      </c>
      <c r="G112" t="str">
        <f>IF(Tabela3[[#This Row],[Saldo Estoque]]&lt;Tabela3[[#This Row],[Estoque Mínimo]],"Sim","")</f>
        <v/>
      </c>
      <c r="H112" s="33">
        <f>Tabela3[[#This Row],[Saldo Estoque]]*Tabela3[[#This Row],[Valor]]</f>
        <v>0</v>
      </c>
    </row>
    <row r="113" spans="1:8" x14ac:dyDescent="0.35">
      <c r="A113" s="1">
        <v>112</v>
      </c>
      <c r="F113" s="9">
        <f>SUMIFS(BDMovEstoque!C:C,BDMovEstoque!A:A,Tabela3[[#This Row],[Código]],BDMovEstoque!G:G,"Entrada")-SUMIFS(BDMovEstoque!C:C,BDMovEstoque!A:A,Tabela3[[#This Row],[Código]],BDMovEstoque!G:G,"Saída")</f>
        <v>0</v>
      </c>
      <c r="G113" t="str">
        <f>IF(Tabela3[[#This Row],[Saldo Estoque]]&lt;Tabela3[[#This Row],[Estoque Mínimo]],"Sim","")</f>
        <v/>
      </c>
      <c r="H113" s="33">
        <f>Tabela3[[#This Row],[Saldo Estoque]]*Tabela3[[#This Row],[Valor]]</f>
        <v>0</v>
      </c>
    </row>
    <row r="114" spans="1:8" x14ac:dyDescent="0.35">
      <c r="A114" s="1">
        <v>113</v>
      </c>
      <c r="F114" s="9">
        <f>SUMIFS(BDMovEstoque!C:C,BDMovEstoque!A:A,Tabela3[[#This Row],[Código]],BDMovEstoque!G:G,"Entrada")-SUMIFS(BDMovEstoque!C:C,BDMovEstoque!A:A,Tabela3[[#This Row],[Código]],BDMovEstoque!G:G,"Saída")</f>
        <v>0</v>
      </c>
      <c r="G114" t="str">
        <f>IF(Tabela3[[#This Row],[Saldo Estoque]]&lt;Tabela3[[#This Row],[Estoque Mínimo]],"Sim","")</f>
        <v/>
      </c>
      <c r="H114" s="33">
        <f>Tabela3[[#This Row],[Saldo Estoque]]*Tabela3[[#This Row],[Valor]]</f>
        <v>0</v>
      </c>
    </row>
    <row r="115" spans="1:8" x14ac:dyDescent="0.35">
      <c r="A115" s="1">
        <v>114</v>
      </c>
      <c r="F115" s="9">
        <f>SUMIFS(BDMovEstoque!C:C,BDMovEstoque!A:A,Tabela3[[#This Row],[Código]],BDMovEstoque!G:G,"Entrada")-SUMIFS(BDMovEstoque!C:C,BDMovEstoque!A:A,Tabela3[[#This Row],[Código]],BDMovEstoque!G:G,"Saída")</f>
        <v>0</v>
      </c>
      <c r="G115" t="str">
        <f>IF(Tabela3[[#This Row],[Saldo Estoque]]&lt;Tabela3[[#This Row],[Estoque Mínimo]],"Sim","")</f>
        <v/>
      </c>
      <c r="H115" s="33">
        <f>Tabela3[[#This Row],[Saldo Estoque]]*Tabela3[[#This Row],[Valor]]</f>
        <v>0</v>
      </c>
    </row>
    <row r="116" spans="1:8" x14ac:dyDescent="0.35">
      <c r="A116" s="1">
        <v>115</v>
      </c>
      <c r="F116" s="9">
        <f>SUMIFS(BDMovEstoque!C:C,BDMovEstoque!A:A,Tabela3[[#This Row],[Código]],BDMovEstoque!G:G,"Entrada")-SUMIFS(BDMovEstoque!C:C,BDMovEstoque!A:A,Tabela3[[#This Row],[Código]],BDMovEstoque!G:G,"Saída")</f>
        <v>0</v>
      </c>
      <c r="G116" t="str">
        <f>IF(Tabela3[[#This Row],[Saldo Estoque]]&lt;Tabela3[[#This Row],[Estoque Mínimo]],"Sim","")</f>
        <v/>
      </c>
      <c r="H116" s="33">
        <f>Tabela3[[#This Row],[Saldo Estoque]]*Tabela3[[#This Row],[Valor]]</f>
        <v>0</v>
      </c>
    </row>
    <row r="117" spans="1:8" x14ac:dyDescent="0.35">
      <c r="A117" s="1">
        <v>116</v>
      </c>
      <c r="F117" s="9">
        <f>SUMIFS(BDMovEstoque!C:C,BDMovEstoque!A:A,Tabela3[[#This Row],[Código]],BDMovEstoque!G:G,"Entrada")-SUMIFS(BDMovEstoque!C:C,BDMovEstoque!A:A,Tabela3[[#This Row],[Código]],BDMovEstoque!G:G,"Saída")</f>
        <v>0</v>
      </c>
      <c r="G117" t="str">
        <f>IF(Tabela3[[#This Row],[Saldo Estoque]]&lt;Tabela3[[#This Row],[Estoque Mínimo]],"Sim","")</f>
        <v/>
      </c>
      <c r="H117" s="33">
        <f>Tabela3[[#This Row],[Saldo Estoque]]*Tabela3[[#This Row],[Valor]]</f>
        <v>0</v>
      </c>
    </row>
    <row r="118" spans="1:8" x14ac:dyDescent="0.35">
      <c r="A118" s="1">
        <v>117</v>
      </c>
      <c r="F118" s="9">
        <f>SUMIFS(BDMovEstoque!C:C,BDMovEstoque!A:A,Tabela3[[#This Row],[Código]],BDMovEstoque!G:G,"Entrada")-SUMIFS(BDMovEstoque!C:C,BDMovEstoque!A:A,Tabela3[[#This Row],[Código]],BDMovEstoque!G:G,"Saída")</f>
        <v>0</v>
      </c>
      <c r="G118" t="str">
        <f>IF(Tabela3[[#This Row],[Saldo Estoque]]&lt;Tabela3[[#This Row],[Estoque Mínimo]],"Sim","")</f>
        <v/>
      </c>
      <c r="H118" s="33">
        <f>Tabela3[[#This Row],[Saldo Estoque]]*Tabela3[[#This Row],[Valor]]</f>
        <v>0</v>
      </c>
    </row>
    <row r="119" spans="1:8" x14ac:dyDescent="0.35">
      <c r="A119" s="1">
        <v>118</v>
      </c>
      <c r="F119" s="9">
        <f>SUMIFS(BDMovEstoque!C:C,BDMovEstoque!A:A,Tabela3[[#This Row],[Código]],BDMovEstoque!G:G,"Entrada")-SUMIFS(BDMovEstoque!C:C,BDMovEstoque!A:A,Tabela3[[#This Row],[Código]],BDMovEstoque!G:G,"Saída")</f>
        <v>0</v>
      </c>
      <c r="G119" t="str">
        <f>IF(Tabela3[[#This Row],[Saldo Estoque]]&lt;Tabela3[[#This Row],[Estoque Mínimo]],"Sim","")</f>
        <v/>
      </c>
      <c r="H119" s="33">
        <f>Tabela3[[#This Row],[Saldo Estoque]]*Tabela3[[#This Row],[Valor]]</f>
        <v>0</v>
      </c>
    </row>
    <row r="120" spans="1:8" x14ac:dyDescent="0.35">
      <c r="A120" s="1">
        <v>119</v>
      </c>
      <c r="F120" s="9">
        <f>SUMIFS(BDMovEstoque!C:C,BDMovEstoque!A:A,Tabela3[[#This Row],[Código]],BDMovEstoque!G:G,"Entrada")-SUMIFS(BDMovEstoque!C:C,BDMovEstoque!A:A,Tabela3[[#This Row],[Código]],BDMovEstoque!G:G,"Saída")</f>
        <v>0</v>
      </c>
      <c r="G120" t="str">
        <f>IF(Tabela3[[#This Row],[Saldo Estoque]]&lt;Tabela3[[#This Row],[Estoque Mínimo]],"Sim","")</f>
        <v/>
      </c>
      <c r="H120" s="33">
        <f>Tabela3[[#This Row],[Saldo Estoque]]*Tabela3[[#This Row],[Valor]]</f>
        <v>0</v>
      </c>
    </row>
    <row r="121" spans="1:8" x14ac:dyDescent="0.35">
      <c r="A121" s="1">
        <v>120</v>
      </c>
      <c r="F121" s="9">
        <f>SUMIFS(BDMovEstoque!C:C,BDMovEstoque!A:A,Tabela3[[#This Row],[Código]],BDMovEstoque!G:G,"Entrada")-SUMIFS(BDMovEstoque!C:C,BDMovEstoque!A:A,Tabela3[[#This Row],[Código]],BDMovEstoque!G:G,"Saída")</f>
        <v>0</v>
      </c>
      <c r="G121" t="str">
        <f>IF(Tabela3[[#This Row],[Saldo Estoque]]&lt;Tabela3[[#This Row],[Estoque Mínimo]],"Sim","")</f>
        <v/>
      </c>
      <c r="H121" s="33">
        <f>Tabela3[[#This Row],[Saldo Estoque]]*Tabela3[[#This Row],[Valor]]</f>
        <v>0</v>
      </c>
    </row>
    <row r="122" spans="1:8" x14ac:dyDescent="0.35">
      <c r="A122" s="1">
        <v>121</v>
      </c>
      <c r="F122" s="9">
        <f>SUMIFS(BDMovEstoque!C:C,BDMovEstoque!A:A,Tabela3[[#This Row],[Código]],BDMovEstoque!G:G,"Entrada")-SUMIFS(BDMovEstoque!C:C,BDMovEstoque!A:A,Tabela3[[#This Row],[Código]],BDMovEstoque!G:G,"Saída")</f>
        <v>0</v>
      </c>
      <c r="G122" t="str">
        <f>IF(Tabela3[[#This Row],[Saldo Estoque]]&lt;Tabela3[[#This Row],[Estoque Mínimo]],"Sim","")</f>
        <v/>
      </c>
      <c r="H122" s="33">
        <f>Tabela3[[#This Row],[Saldo Estoque]]*Tabela3[[#This Row],[Valor]]</f>
        <v>0</v>
      </c>
    </row>
    <row r="123" spans="1:8" x14ac:dyDescent="0.35">
      <c r="A123" s="1">
        <v>122</v>
      </c>
      <c r="F123" s="9">
        <f>SUMIFS(BDMovEstoque!C:C,BDMovEstoque!A:A,Tabela3[[#This Row],[Código]],BDMovEstoque!G:G,"Entrada")-SUMIFS(BDMovEstoque!C:C,BDMovEstoque!A:A,Tabela3[[#This Row],[Código]],BDMovEstoque!G:G,"Saída")</f>
        <v>0</v>
      </c>
      <c r="G123" t="str">
        <f>IF(Tabela3[[#This Row],[Saldo Estoque]]&lt;Tabela3[[#This Row],[Estoque Mínimo]],"Sim","")</f>
        <v/>
      </c>
      <c r="H123" s="33">
        <f>Tabela3[[#This Row],[Saldo Estoque]]*Tabela3[[#This Row],[Valor]]</f>
        <v>0</v>
      </c>
    </row>
    <row r="124" spans="1:8" x14ac:dyDescent="0.35">
      <c r="A124" s="1">
        <v>123</v>
      </c>
      <c r="F124" s="9">
        <f>SUMIFS(BDMovEstoque!C:C,BDMovEstoque!A:A,Tabela3[[#This Row],[Código]],BDMovEstoque!G:G,"Entrada")-SUMIFS(BDMovEstoque!C:C,BDMovEstoque!A:A,Tabela3[[#This Row],[Código]],BDMovEstoque!G:G,"Saída")</f>
        <v>0</v>
      </c>
      <c r="G124" t="str">
        <f>IF(Tabela3[[#This Row],[Saldo Estoque]]&lt;Tabela3[[#This Row],[Estoque Mínimo]],"Sim","")</f>
        <v/>
      </c>
      <c r="H124" s="33">
        <f>Tabela3[[#This Row],[Saldo Estoque]]*Tabela3[[#This Row],[Valor]]</f>
        <v>0</v>
      </c>
    </row>
    <row r="125" spans="1:8" x14ac:dyDescent="0.35">
      <c r="A125" s="1">
        <v>124</v>
      </c>
      <c r="F125" s="9">
        <f>SUMIFS(BDMovEstoque!C:C,BDMovEstoque!A:A,Tabela3[[#This Row],[Código]],BDMovEstoque!G:G,"Entrada")-SUMIFS(BDMovEstoque!C:C,BDMovEstoque!A:A,Tabela3[[#This Row],[Código]],BDMovEstoque!G:G,"Saída")</f>
        <v>0</v>
      </c>
      <c r="G125" t="str">
        <f>IF(Tabela3[[#This Row],[Saldo Estoque]]&lt;Tabela3[[#This Row],[Estoque Mínimo]],"Sim","")</f>
        <v/>
      </c>
      <c r="H125" s="33">
        <f>Tabela3[[#This Row],[Saldo Estoque]]*Tabela3[[#This Row],[Valor]]</f>
        <v>0</v>
      </c>
    </row>
    <row r="126" spans="1:8" x14ac:dyDescent="0.35">
      <c r="A126" s="1">
        <v>125</v>
      </c>
      <c r="F126" s="9">
        <f>SUMIFS(BDMovEstoque!C:C,BDMovEstoque!A:A,Tabela3[[#This Row],[Código]],BDMovEstoque!G:G,"Entrada")-SUMIFS(BDMovEstoque!C:C,BDMovEstoque!A:A,Tabela3[[#This Row],[Código]],BDMovEstoque!G:G,"Saída")</f>
        <v>0</v>
      </c>
      <c r="G126" t="str">
        <f>IF(Tabela3[[#This Row],[Saldo Estoque]]&lt;Tabela3[[#This Row],[Estoque Mínimo]],"Sim","")</f>
        <v/>
      </c>
      <c r="H126" s="33">
        <f>Tabela3[[#This Row],[Saldo Estoque]]*Tabela3[[#This Row],[Valor]]</f>
        <v>0</v>
      </c>
    </row>
    <row r="127" spans="1:8" x14ac:dyDescent="0.35">
      <c r="A127" s="1">
        <v>126</v>
      </c>
      <c r="F127" s="9">
        <f>SUMIFS(BDMovEstoque!C:C,BDMovEstoque!A:A,Tabela3[[#This Row],[Código]],BDMovEstoque!G:G,"Entrada")-SUMIFS(BDMovEstoque!C:C,BDMovEstoque!A:A,Tabela3[[#This Row],[Código]],BDMovEstoque!G:G,"Saída")</f>
        <v>0</v>
      </c>
      <c r="G127" t="str">
        <f>IF(Tabela3[[#This Row],[Saldo Estoque]]&lt;Tabela3[[#This Row],[Estoque Mínimo]],"Sim","")</f>
        <v/>
      </c>
      <c r="H127" s="33">
        <f>Tabela3[[#This Row],[Saldo Estoque]]*Tabela3[[#This Row],[Valor]]</f>
        <v>0</v>
      </c>
    </row>
    <row r="128" spans="1:8" x14ac:dyDescent="0.35">
      <c r="A128" s="1">
        <v>127</v>
      </c>
      <c r="F128" s="9">
        <f>SUMIFS(BDMovEstoque!C:C,BDMovEstoque!A:A,Tabela3[[#This Row],[Código]],BDMovEstoque!G:G,"Entrada")-SUMIFS(BDMovEstoque!C:C,BDMovEstoque!A:A,Tabela3[[#This Row],[Código]],BDMovEstoque!G:G,"Saída")</f>
        <v>0</v>
      </c>
      <c r="G128" t="str">
        <f>IF(Tabela3[[#This Row],[Saldo Estoque]]&lt;Tabela3[[#This Row],[Estoque Mínimo]],"Sim","")</f>
        <v/>
      </c>
      <c r="H128" s="33">
        <f>Tabela3[[#This Row],[Saldo Estoque]]*Tabela3[[#This Row],[Valor]]</f>
        <v>0</v>
      </c>
    </row>
    <row r="129" spans="1:8" x14ac:dyDescent="0.35">
      <c r="A129" s="1">
        <v>128</v>
      </c>
      <c r="F129" s="9">
        <f>SUMIFS(BDMovEstoque!C:C,BDMovEstoque!A:A,Tabela3[[#This Row],[Código]],BDMovEstoque!G:G,"Entrada")-SUMIFS(BDMovEstoque!C:C,BDMovEstoque!A:A,Tabela3[[#This Row],[Código]],BDMovEstoque!G:G,"Saída")</f>
        <v>0</v>
      </c>
      <c r="G129" t="str">
        <f>IF(Tabela3[[#This Row],[Saldo Estoque]]&lt;Tabela3[[#This Row],[Estoque Mínimo]],"Sim","")</f>
        <v/>
      </c>
      <c r="H129" s="33">
        <f>Tabela3[[#This Row],[Saldo Estoque]]*Tabela3[[#This Row],[Valor]]</f>
        <v>0</v>
      </c>
    </row>
    <row r="130" spans="1:8" x14ac:dyDescent="0.35">
      <c r="A130" s="1">
        <v>129</v>
      </c>
      <c r="F130" s="9">
        <f>SUMIFS(BDMovEstoque!C:C,BDMovEstoque!A:A,Tabela3[[#This Row],[Código]],BDMovEstoque!G:G,"Entrada")-SUMIFS(BDMovEstoque!C:C,BDMovEstoque!A:A,Tabela3[[#This Row],[Código]],BDMovEstoque!G:G,"Saída")</f>
        <v>0</v>
      </c>
      <c r="G130" t="str">
        <f>IF(Tabela3[[#This Row],[Saldo Estoque]]&lt;Tabela3[[#This Row],[Estoque Mínimo]],"Sim","")</f>
        <v/>
      </c>
      <c r="H130" s="33">
        <f>Tabela3[[#This Row],[Saldo Estoque]]*Tabela3[[#This Row],[Valor]]</f>
        <v>0</v>
      </c>
    </row>
    <row r="131" spans="1:8" x14ac:dyDescent="0.35">
      <c r="A131" s="1">
        <v>130</v>
      </c>
      <c r="F131" s="9">
        <f>SUMIFS(BDMovEstoque!C:C,BDMovEstoque!A:A,Tabela3[[#This Row],[Código]],BDMovEstoque!G:G,"Entrada")-SUMIFS(BDMovEstoque!C:C,BDMovEstoque!A:A,Tabela3[[#This Row],[Código]],BDMovEstoque!G:G,"Saída")</f>
        <v>0</v>
      </c>
      <c r="G131" t="str">
        <f>IF(Tabela3[[#This Row],[Saldo Estoque]]&lt;Tabela3[[#This Row],[Estoque Mínimo]],"Sim","")</f>
        <v/>
      </c>
      <c r="H131" s="33">
        <f>Tabela3[[#This Row],[Saldo Estoque]]*Tabela3[[#This Row],[Valor]]</f>
        <v>0</v>
      </c>
    </row>
    <row r="132" spans="1:8" x14ac:dyDescent="0.35">
      <c r="A132" s="1">
        <v>131</v>
      </c>
      <c r="F132" s="9">
        <f>SUMIFS(BDMovEstoque!C:C,BDMovEstoque!A:A,Tabela3[[#This Row],[Código]],BDMovEstoque!G:G,"Entrada")-SUMIFS(BDMovEstoque!C:C,BDMovEstoque!A:A,Tabela3[[#This Row],[Código]],BDMovEstoque!G:G,"Saída")</f>
        <v>0</v>
      </c>
      <c r="G132" t="str">
        <f>IF(Tabela3[[#This Row],[Saldo Estoque]]&lt;Tabela3[[#This Row],[Estoque Mínimo]],"Sim","")</f>
        <v/>
      </c>
      <c r="H132" s="33">
        <f>Tabela3[[#This Row],[Saldo Estoque]]*Tabela3[[#This Row],[Valor]]</f>
        <v>0</v>
      </c>
    </row>
    <row r="133" spans="1:8" x14ac:dyDescent="0.35">
      <c r="A133" s="1">
        <v>132</v>
      </c>
      <c r="F133" s="9">
        <f>SUMIFS(BDMovEstoque!C:C,BDMovEstoque!A:A,Tabela3[[#This Row],[Código]],BDMovEstoque!G:G,"Entrada")-SUMIFS(BDMovEstoque!C:C,BDMovEstoque!A:A,Tabela3[[#This Row],[Código]],BDMovEstoque!G:G,"Saída")</f>
        <v>0</v>
      </c>
      <c r="G133" t="str">
        <f>IF(Tabela3[[#This Row],[Saldo Estoque]]&lt;Tabela3[[#This Row],[Estoque Mínimo]],"Sim","")</f>
        <v/>
      </c>
      <c r="H133" s="33">
        <f>Tabela3[[#This Row],[Saldo Estoque]]*Tabela3[[#This Row],[Valor]]</f>
        <v>0</v>
      </c>
    </row>
    <row r="134" spans="1:8" x14ac:dyDescent="0.35">
      <c r="A134" s="1">
        <v>133</v>
      </c>
      <c r="F134" s="9">
        <f>SUMIFS(BDMovEstoque!C:C,BDMovEstoque!A:A,Tabela3[[#This Row],[Código]],BDMovEstoque!G:G,"Entrada")-SUMIFS(BDMovEstoque!C:C,BDMovEstoque!A:A,Tabela3[[#This Row],[Código]],BDMovEstoque!G:G,"Saída")</f>
        <v>0</v>
      </c>
      <c r="G134" t="str">
        <f>IF(Tabela3[[#This Row],[Saldo Estoque]]&lt;Tabela3[[#This Row],[Estoque Mínimo]],"Sim","")</f>
        <v/>
      </c>
      <c r="H134" s="33">
        <f>Tabela3[[#This Row],[Saldo Estoque]]*Tabela3[[#This Row],[Valor]]</f>
        <v>0</v>
      </c>
    </row>
    <row r="135" spans="1:8" x14ac:dyDescent="0.35">
      <c r="A135" s="1">
        <v>134</v>
      </c>
      <c r="F135" s="9">
        <f>SUMIFS(BDMovEstoque!C:C,BDMovEstoque!A:A,Tabela3[[#This Row],[Código]],BDMovEstoque!G:G,"Entrada")-SUMIFS(BDMovEstoque!C:C,BDMovEstoque!A:A,Tabela3[[#This Row],[Código]],BDMovEstoque!G:G,"Saída")</f>
        <v>0</v>
      </c>
      <c r="G135" t="str">
        <f>IF(Tabela3[[#This Row],[Saldo Estoque]]&lt;Tabela3[[#This Row],[Estoque Mínimo]],"Sim","")</f>
        <v/>
      </c>
      <c r="H135" s="33">
        <f>Tabela3[[#This Row],[Saldo Estoque]]*Tabela3[[#This Row],[Valor]]</f>
        <v>0</v>
      </c>
    </row>
    <row r="136" spans="1:8" x14ac:dyDescent="0.35">
      <c r="A136" s="1">
        <v>135</v>
      </c>
      <c r="F136" s="9">
        <f>SUMIFS(BDMovEstoque!C:C,BDMovEstoque!A:A,Tabela3[[#This Row],[Código]],BDMovEstoque!G:G,"Entrada")-SUMIFS(BDMovEstoque!C:C,BDMovEstoque!A:A,Tabela3[[#This Row],[Código]],BDMovEstoque!G:G,"Saída")</f>
        <v>0</v>
      </c>
      <c r="G136" t="str">
        <f>IF(Tabela3[[#This Row],[Saldo Estoque]]&lt;Tabela3[[#This Row],[Estoque Mínimo]],"Sim","")</f>
        <v/>
      </c>
      <c r="H136" s="33">
        <f>Tabela3[[#This Row],[Saldo Estoque]]*Tabela3[[#This Row],[Valor]]</f>
        <v>0</v>
      </c>
    </row>
    <row r="137" spans="1:8" x14ac:dyDescent="0.35">
      <c r="A137" s="1">
        <v>136</v>
      </c>
      <c r="F137" s="9">
        <f>SUMIFS(BDMovEstoque!C:C,BDMovEstoque!A:A,Tabela3[[#This Row],[Código]],BDMovEstoque!G:G,"Entrada")-SUMIFS(BDMovEstoque!C:C,BDMovEstoque!A:A,Tabela3[[#This Row],[Código]],BDMovEstoque!G:G,"Saída")</f>
        <v>0</v>
      </c>
      <c r="G137" t="str">
        <f>IF(Tabela3[[#This Row],[Saldo Estoque]]&lt;Tabela3[[#This Row],[Estoque Mínimo]],"Sim","")</f>
        <v/>
      </c>
      <c r="H137" s="33">
        <f>Tabela3[[#This Row],[Saldo Estoque]]*Tabela3[[#This Row],[Valor]]</f>
        <v>0</v>
      </c>
    </row>
    <row r="138" spans="1:8" x14ac:dyDescent="0.35">
      <c r="A138" s="1">
        <v>137</v>
      </c>
      <c r="F138" s="9">
        <f>SUMIFS(BDMovEstoque!C:C,BDMovEstoque!A:A,Tabela3[[#This Row],[Código]],BDMovEstoque!G:G,"Entrada")-SUMIFS(BDMovEstoque!C:C,BDMovEstoque!A:A,Tabela3[[#This Row],[Código]],BDMovEstoque!G:G,"Saída")</f>
        <v>0</v>
      </c>
      <c r="G138" t="str">
        <f>IF(Tabela3[[#This Row],[Saldo Estoque]]&lt;Tabela3[[#This Row],[Estoque Mínimo]],"Sim","")</f>
        <v/>
      </c>
      <c r="H138" s="33">
        <f>Tabela3[[#This Row],[Saldo Estoque]]*Tabela3[[#This Row],[Valor]]</f>
        <v>0</v>
      </c>
    </row>
    <row r="139" spans="1:8" x14ac:dyDescent="0.35">
      <c r="A139" s="1">
        <v>138</v>
      </c>
      <c r="F139" s="9">
        <f>SUMIFS(BDMovEstoque!C:C,BDMovEstoque!A:A,Tabela3[[#This Row],[Código]],BDMovEstoque!G:G,"Entrada")-SUMIFS(BDMovEstoque!C:C,BDMovEstoque!A:A,Tabela3[[#This Row],[Código]],BDMovEstoque!G:G,"Saída")</f>
        <v>0</v>
      </c>
      <c r="G139" t="str">
        <f>IF(Tabela3[[#This Row],[Saldo Estoque]]&lt;Tabela3[[#This Row],[Estoque Mínimo]],"Sim","")</f>
        <v/>
      </c>
      <c r="H139" s="33">
        <f>Tabela3[[#This Row],[Saldo Estoque]]*Tabela3[[#This Row],[Valor]]</f>
        <v>0</v>
      </c>
    </row>
    <row r="140" spans="1:8" x14ac:dyDescent="0.35">
      <c r="A140" s="1">
        <v>139</v>
      </c>
      <c r="F140" s="9">
        <f>SUMIFS(BDMovEstoque!C:C,BDMovEstoque!A:A,Tabela3[[#This Row],[Código]],BDMovEstoque!G:G,"Entrada")-SUMIFS(BDMovEstoque!C:C,BDMovEstoque!A:A,Tabela3[[#This Row],[Código]],BDMovEstoque!G:G,"Saída")</f>
        <v>0</v>
      </c>
      <c r="G140" t="str">
        <f>IF(Tabela3[[#This Row],[Saldo Estoque]]&lt;Tabela3[[#This Row],[Estoque Mínimo]],"Sim","")</f>
        <v/>
      </c>
      <c r="H140" s="33">
        <f>Tabela3[[#This Row],[Saldo Estoque]]*Tabela3[[#This Row],[Valor]]</f>
        <v>0</v>
      </c>
    </row>
    <row r="141" spans="1:8" x14ac:dyDescent="0.35">
      <c r="A141" s="1">
        <v>140</v>
      </c>
      <c r="F141" s="9">
        <f>SUMIFS(BDMovEstoque!C:C,BDMovEstoque!A:A,Tabela3[[#This Row],[Código]],BDMovEstoque!G:G,"Entrada")-SUMIFS(BDMovEstoque!C:C,BDMovEstoque!A:A,Tabela3[[#This Row],[Código]],BDMovEstoque!G:G,"Saída")</f>
        <v>0</v>
      </c>
      <c r="G141" t="str">
        <f>IF(Tabela3[[#This Row],[Saldo Estoque]]&lt;Tabela3[[#This Row],[Estoque Mínimo]],"Sim","")</f>
        <v/>
      </c>
      <c r="H141" s="33">
        <f>Tabela3[[#This Row],[Saldo Estoque]]*Tabela3[[#This Row],[Valor]]</f>
        <v>0</v>
      </c>
    </row>
    <row r="142" spans="1:8" x14ac:dyDescent="0.35">
      <c r="A142" s="1">
        <v>141</v>
      </c>
      <c r="F142" s="9">
        <f>SUMIFS(BDMovEstoque!C:C,BDMovEstoque!A:A,Tabela3[[#This Row],[Código]],BDMovEstoque!G:G,"Entrada")-SUMIFS(BDMovEstoque!C:C,BDMovEstoque!A:A,Tabela3[[#This Row],[Código]],BDMovEstoque!G:G,"Saída")</f>
        <v>0</v>
      </c>
      <c r="G142" t="str">
        <f>IF(Tabela3[[#This Row],[Saldo Estoque]]&lt;Tabela3[[#This Row],[Estoque Mínimo]],"Sim","")</f>
        <v/>
      </c>
      <c r="H142" s="33">
        <f>Tabela3[[#This Row],[Saldo Estoque]]*Tabela3[[#This Row],[Valor]]</f>
        <v>0</v>
      </c>
    </row>
    <row r="143" spans="1:8" x14ac:dyDescent="0.35">
      <c r="A143" s="1">
        <v>142</v>
      </c>
      <c r="F143" s="9">
        <f>SUMIFS(BDMovEstoque!C:C,BDMovEstoque!A:A,Tabela3[[#This Row],[Código]],BDMovEstoque!G:G,"Entrada")-SUMIFS(BDMovEstoque!C:C,BDMovEstoque!A:A,Tabela3[[#This Row],[Código]],BDMovEstoque!G:G,"Saída")</f>
        <v>0</v>
      </c>
      <c r="G143" t="str">
        <f>IF(Tabela3[[#This Row],[Saldo Estoque]]&lt;Tabela3[[#This Row],[Estoque Mínimo]],"Sim","")</f>
        <v/>
      </c>
      <c r="H143" s="33">
        <f>Tabela3[[#This Row],[Saldo Estoque]]*Tabela3[[#This Row],[Valor]]</f>
        <v>0</v>
      </c>
    </row>
    <row r="144" spans="1:8" x14ac:dyDescent="0.35">
      <c r="A144" s="1">
        <v>143</v>
      </c>
      <c r="F144" s="9">
        <f>SUMIFS(BDMovEstoque!C:C,BDMovEstoque!A:A,Tabela3[[#This Row],[Código]],BDMovEstoque!G:G,"Entrada")-SUMIFS(BDMovEstoque!C:C,BDMovEstoque!A:A,Tabela3[[#This Row],[Código]],BDMovEstoque!G:G,"Saída")</f>
        <v>0</v>
      </c>
      <c r="G144" t="str">
        <f>IF(Tabela3[[#This Row],[Saldo Estoque]]&lt;Tabela3[[#This Row],[Estoque Mínimo]],"Sim","")</f>
        <v/>
      </c>
      <c r="H144" s="33">
        <f>Tabela3[[#This Row],[Saldo Estoque]]*Tabela3[[#This Row],[Valor]]</f>
        <v>0</v>
      </c>
    </row>
    <row r="145" spans="1:8" x14ac:dyDescent="0.35">
      <c r="A145" s="1">
        <v>144</v>
      </c>
      <c r="F145" s="9">
        <f>SUMIFS(BDMovEstoque!C:C,BDMovEstoque!A:A,Tabela3[[#This Row],[Código]],BDMovEstoque!G:G,"Entrada")-SUMIFS(BDMovEstoque!C:C,BDMovEstoque!A:A,Tabela3[[#This Row],[Código]],BDMovEstoque!G:G,"Saída")</f>
        <v>0</v>
      </c>
      <c r="G145" t="str">
        <f>IF(Tabela3[[#This Row],[Saldo Estoque]]&lt;Tabela3[[#This Row],[Estoque Mínimo]],"Sim","")</f>
        <v/>
      </c>
      <c r="H145" s="33">
        <f>Tabela3[[#This Row],[Saldo Estoque]]*Tabela3[[#This Row],[Valor]]</f>
        <v>0</v>
      </c>
    </row>
    <row r="146" spans="1:8" x14ac:dyDescent="0.35">
      <c r="A146" s="1">
        <v>145</v>
      </c>
      <c r="F146" s="9">
        <f>SUMIFS(BDMovEstoque!C:C,BDMovEstoque!A:A,Tabela3[[#This Row],[Código]],BDMovEstoque!G:G,"Entrada")-SUMIFS(BDMovEstoque!C:C,BDMovEstoque!A:A,Tabela3[[#This Row],[Código]],BDMovEstoque!G:G,"Saída")</f>
        <v>0</v>
      </c>
      <c r="G146" t="str">
        <f>IF(Tabela3[[#This Row],[Saldo Estoque]]&lt;Tabela3[[#This Row],[Estoque Mínimo]],"Sim","")</f>
        <v/>
      </c>
      <c r="H146" s="33">
        <f>Tabela3[[#This Row],[Saldo Estoque]]*Tabela3[[#This Row],[Valor]]</f>
        <v>0</v>
      </c>
    </row>
    <row r="147" spans="1:8" x14ac:dyDescent="0.35">
      <c r="A147" s="1">
        <v>146</v>
      </c>
      <c r="F147" s="9">
        <f>SUMIFS(BDMovEstoque!C:C,BDMovEstoque!A:A,Tabela3[[#This Row],[Código]],BDMovEstoque!G:G,"Entrada")-SUMIFS(BDMovEstoque!C:C,BDMovEstoque!A:A,Tabela3[[#This Row],[Código]],BDMovEstoque!G:G,"Saída")</f>
        <v>0</v>
      </c>
      <c r="G147" t="str">
        <f>IF(Tabela3[[#This Row],[Saldo Estoque]]&lt;Tabela3[[#This Row],[Estoque Mínimo]],"Sim","")</f>
        <v/>
      </c>
      <c r="H147" s="33">
        <f>Tabela3[[#This Row],[Saldo Estoque]]*Tabela3[[#This Row],[Valor]]</f>
        <v>0</v>
      </c>
    </row>
    <row r="148" spans="1:8" x14ac:dyDescent="0.35">
      <c r="A148" s="1">
        <v>147</v>
      </c>
      <c r="F148" s="9">
        <f>SUMIFS(BDMovEstoque!C:C,BDMovEstoque!A:A,Tabela3[[#This Row],[Código]],BDMovEstoque!G:G,"Entrada")-SUMIFS(BDMovEstoque!C:C,BDMovEstoque!A:A,Tabela3[[#This Row],[Código]],BDMovEstoque!G:G,"Saída")</f>
        <v>0</v>
      </c>
      <c r="G148" t="str">
        <f>IF(Tabela3[[#This Row],[Saldo Estoque]]&lt;Tabela3[[#This Row],[Estoque Mínimo]],"Sim","")</f>
        <v/>
      </c>
      <c r="H148" s="33">
        <f>Tabela3[[#This Row],[Saldo Estoque]]*Tabela3[[#This Row],[Valor]]</f>
        <v>0</v>
      </c>
    </row>
    <row r="149" spans="1:8" x14ac:dyDescent="0.35">
      <c r="A149" s="1">
        <v>148</v>
      </c>
      <c r="F149" s="9">
        <f>SUMIFS(BDMovEstoque!C:C,BDMovEstoque!A:A,Tabela3[[#This Row],[Código]],BDMovEstoque!G:G,"Entrada")-SUMIFS(BDMovEstoque!C:C,BDMovEstoque!A:A,Tabela3[[#This Row],[Código]],BDMovEstoque!G:G,"Saída")</f>
        <v>0</v>
      </c>
      <c r="G149" t="str">
        <f>IF(Tabela3[[#This Row],[Saldo Estoque]]&lt;Tabela3[[#This Row],[Estoque Mínimo]],"Sim","")</f>
        <v/>
      </c>
      <c r="H149" s="33">
        <f>Tabela3[[#This Row],[Saldo Estoque]]*Tabela3[[#This Row],[Valor]]</f>
        <v>0</v>
      </c>
    </row>
    <row r="150" spans="1:8" x14ac:dyDescent="0.35">
      <c r="A150" s="1">
        <v>149</v>
      </c>
      <c r="F150" s="9">
        <f>SUMIFS(BDMovEstoque!C:C,BDMovEstoque!A:A,Tabela3[[#This Row],[Código]],BDMovEstoque!G:G,"Entrada")-SUMIFS(BDMovEstoque!C:C,BDMovEstoque!A:A,Tabela3[[#This Row],[Código]],BDMovEstoque!G:G,"Saída")</f>
        <v>0</v>
      </c>
      <c r="G150" t="str">
        <f>IF(Tabela3[[#This Row],[Saldo Estoque]]&lt;Tabela3[[#This Row],[Estoque Mínimo]],"Sim","")</f>
        <v/>
      </c>
      <c r="H150" s="33">
        <f>Tabela3[[#This Row],[Saldo Estoque]]*Tabela3[[#This Row],[Valor]]</f>
        <v>0</v>
      </c>
    </row>
    <row r="151" spans="1:8" x14ac:dyDescent="0.35">
      <c r="A151" s="1">
        <v>150</v>
      </c>
      <c r="F151" s="9">
        <f>SUMIFS(BDMovEstoque!C:C,BDMovEstoque!A:A,Tabela3[[#This Row],[Código]],BDMovEstoque!G:G,"Entrada")-SUMIFS(BDMovEstoque!C:C,BDMovEstoque!A:A,Tabela3[[#This Row],[Código]],BDMovEstoque!G:G,"Saída")</f>
        <v>0</v>
      </c>
      <c r="G151" t="str">
        <f>IF(Tabela3[[#This Row],[Saldo Estoque]]&lt;Tabela3[[#This Row],[Estoque Mínimo]],"Sim","")</f>
        <v/>
      </c>
      <c r="H151" s="33">
        <f>Tabela3[[#This Row],[Saldo Estoque]]*Tabela3[[#This Row],[Valor]]</f>
        <v>0</v>
      </c>
    </row>
    <row r="152" spans="1:8" x14ac:dyDescent="0.35">
      <c r="A152" s="1">
        <v>151</v>
      </c>
      <c r="F152" s="9">
        <f>SUMIFS(BDMovEstoque!C:C,BDMovEstoque!A:A,Tabela3[[#This Row],[Código]],BDMovEstoque!G:G,"Entrada")-SUMIFS(BDMovEstoque!C:C,BDMovEstoque!A:A,Tabela3[[#This Row],[Código]],BDMovEstoque!G:G,"Saída")</f>
        <v>0</v>
      </c>
      <c r="G152" t="str">
        <f>IF(Tabela3[[#This Row],[Saldo Estoque]]&lt;Tabela3[[#This Row],[Estoque Mínimo]],"Sim","")</f>
        <v/>
      </c>
      <c r="H152" s="33">
        <f>Tabela3[[#This Row],[Saldo Estoque]]*Tabela3[[#This Row],[Valor]]</f>
        <v>0</v>
      </c>
    </row>
    <row r="153" spans="1:8" x14ac:dyDescent="0.35">
      <c r="A153" s="1">
        <v>152</v>
      </c>
      <c r="F153" s="9">
        <f>SUMIFS(BDMovEstoque!C:C,BDMovEstoque!A:A,Tabela3[[#This Row],[Código]],BDMovEstoque!G:G,"Entrada")-SUMIFS(BDMovEstoque!C:C,BDMovEstoque!A:A,Tabela3[[#This Row],[Código]],BDMovEstoque!G:G,"Saída")</f>
        <v>0</v>
      </c>
      <c r="G153" t="str">
        <f>IF(Tabela3[[#This Row],[Saldo Estoque]]&lt;Tabela3[[#This Row],[Estoque Mínimo]],"Sim","")</f>
        <v/>
      </c>
      <c r="H153" s="33">
        <f>Tabela3[[#This Row],[Saldo Estoque]]*Tabela3[[#This Row],[Valor]]</f>
        <v>0</v>
      </c>
    </row>
    <row r="154" spans="1:8" x14ac:dyDescent="0.35">
      <c r="A154" s="1">
        <v>153</v>
      </c>
      <c r="F154" s="9">
        <f>SUMIFS(BDMovEstoque!C:C,BDMovEstoque!A:A,Tabela3[[#This Row],[Código]],BDMovEstoque!G:G,"Entrada")-SUMIFS(BDMovEstoque!C:C,BDMovEstoque!A:A,Tabela3[[#This Row],[Código]],BDMovEstoque!G:G,"Saída")</f>
        <v>0</v>
      </c>
      <c r="G154" t="str">
        <f>IF(Tabela3[[#This Row],[Saldo Estoque]]&lt;Tabela3[[#This Row],[Estoque Mínimo]],"Sim","")</f>
        <v/>
      </c>
      <c r="H154" s="33">
        <f>Tabela3[[#This Row],[Saldo Estoque]]*Tabela3[[#This Row],[Valor]]</f>
        <v>0</v>
      </c>
    </row>
    <row r="155" spans="1:8" x14ac:dyDescent="0.35">
      <c r="A155" s="1">
        <v>154</v>
      </c>
      <c r="F155" s="9">
        <f>SUMIFS(BDMovEstoque!C:C,BDMovEstoque!A:A,Tabela3[[#This Row],[Código]],BDMovEstoque!G:G,"Entrada")-SUMIFS(BDMovEstoque!C:C,BDMovEstoque!A:A,Tabela3[[#This Row],[Código]],BDMovEstoque!G:G,"Saída")</f>
        <v>0</v>
      </c>
      <c r="G155" t="str">
        <f>IF(Tabela3[[#This Row],[Saldo Estoque]]&lt;Tabela3[[#This Row],[Estoque Mínimo]],"Sim","")</f>
        <v/>
      </c>
      <c r="H155" s="33">
        <f>Tabela3[[#This Row],[Saldo Estoque]]*Tabela3[[#This Row],[Valor]]</f>
        <v>0</v>
      </c>
    </row>
    <row r="156" spans="1:8" x14ac:dyDescent="0.35">
      <c r="A156" s="1">
        <v>155</v>
      </c>
      <c r="F156" s="9">
        <f>SUMIFS(BDMovEstoque!C:C,BDMovEstoque!A:A,Tabela3[[#This Row],[Código]],BDMovEstoque!G:G,"Entrada")-SUMIFS(BDMovEstoque!C:C,BDMovEstoque!A:A,Tabela3[[#This Row],[Código]],BDMovEstoque!G:G,"Saída")</f>
        <v>0</v>
      </c>
      <c r="G156" t="str">
        <f>IF(Tabela3[[#This Row],[Saldo Estoque]]&lt;Tabela3[[#This Row],[Estoque Mínimo]],"Sim","")</f>
        <v/>
      </c>
      <c r="H156" s="33">
        <f>Tabela3[[#This Row],[Saldo Estoque]]*Tabela3[[#This Row],[Valor]]</f>
        <v>0</v>
      </c>
    </row>
    <row r="157" spans="1:8" x14ac:dyDescent="0.35">
      <c r="A157" s="1">
        <v>156</v>
      </c>
      <c r="F157" s="9">
        <f>SUMIFS(BDMovEstoque!C:C,BDMovEstoque!A:A,Tabela3[[#This Row],[Código]],BDMovEstoque!G:G,"Entrada")-SUMIFS(BDMovEstoque!C:C,BDMovEstoque!A:A,Tabela3[[#This Row],[Código]],BDMovEstoque!G:G,"Saída")</f>
        <v>0</v>
      </c>
      <c r="G157" t="str">
        <f>IF(Tabela3[[#This Row],[Saldo Estoque]]&lt;Tabela3[[#This Row],[Estoque Mínimo]],"Sim","")</f>
        <v/>
      </c>
      <c r="H157" s="33">
        <f>Tabela3[[#This Row],[Saldo Estoque]]*Tabela3[[#This Row],[Valor]]</f>
        <v>0</v>
      </c>
    </row>
    <row r="158" spans="1:8" x14ac:dyDescent="0.35">
      <c r="A158" s="1">
        <v>157</v>
      </c>
      <c r="F158" s="9">
        <f>SUMIFS(BDMovEstoque!C:C,BDMovEstoque!A:A,Tabela3[[#This Row],[Código]],BDMovEstoque!G:G,"Entrada")-SUMIFS(BDMovEstoque!C:C,BDMovEstoque!A:A,Tabela3[[#This Row],[Código]],BDMovEstoque!G:G,"Saída")</f>
        <v>0</v>
      </c>
      <c r="G158" t="str">
        <f>IF(Tabela3[[#This Row],[Saldo Estoque]]&lt;Tabela3[[#This Row],[Estoque Mínimo]],"Sim","")</f>
        <v/>
      </c>
      <c r="H158" s="33">
        <f>Tabela3[[#This Row],[Saldo Estoque]]*Tabela3[[#This Row],[Valor]]</f>
        <v>0</v>
      </c>
    </row>
    <row r="159" spans="1:8" x14ac:dyDescent="0.35">
      <c r="A159" s="1">
        <v>158</v>
      </c>
      <c r="F159" s="9">
        <f>SUMIFS(BDMovEstoque!C:C,BDMovEstoque!A:A,Tabela3[[#This Row],[Código]],BDMovEstoque!G:G,"Entrada")-SUMIFS(BDMovEstoque!C:C,BDMovEstoque!A:A,Tabela3[[#This Row],[Código]],BDMovEstoque!G:G,"Saída")</f>
        <v>0</v>
      </c>
      <c r="G159" t="str">
        <f>IF(Tabela3[[#This Row],[Saldo Estoque]]&lt;Tabela3[[#This Row],[Estoque Mínimo]],"Sim","")</f>
        <v/>
      </c>
      <c r="H159" s="33">
        <f>Tabela3[[#This Row],[Saldo Estoque]]*Tabela3[[#This Row],[Valor]]</f>
        <v>0</v>
      </c>
    </row>
    <row r="160" spans="1:8" x14ac:dyDescent="0.35">
      <c r="A160" s="1">
        <v>159</v>
      </c>
      <c r="F160" s="9">
        <f>SUMIFS(BDMovEstoque!C:C,BDMovEstoque!A:A,Tabela3[[#This Row],[Código]],BDMovEstoque!G:G,"Entrada")-SUMIFS(BDMovEstoque!C:C,BDMovEstoque!A:A,Tabela3[[#This Row],[Código]],BDMovEstoque!G:G,"Saída")</f>
        <v>0</v>
      </c>
      <c r="G160" t="str">
        <f>IF(Tabela3[[#This Row],[Saldo Estoque]]&lt;Tabela3[[#This Row],[Estoque Mínimo]],"Sim","")</f>
        <v/>
      </c>
      <c r="H160" s="33">
        <f>Tabela3[[#This Row],[Saldo Estoque]]*Tabela3[[#This Row],[Valor]]</f>
        <v>0</v>
      </c>
    </row>
    <row r="161" spans="1:8" x14ac:dyDescent="0.35">
      <c r="A161" s="1">
        <v>160</v>
      </c>
      <c r="F161" s="9">
        <f>SUMIFS(BDMovEstoque!C:C,BDMovEstoque!A:A,Tabela3[[#This Row],[Código]],BDMovEstoque!G:G,"Entrada")-SUMIFS(BDMovEstoque!C:C,BDMovEstoque!A:A,Tabela3[[#This Row],[Código]],BDMovEstoque!G:G,"Saída")</f>
        <v>0</v>
      </c>
      <c r="G161" t="str">
        <f>IF(Tabela3[[#This Row],[Saldo Estoque]]&lt;Tabela3[[#This Row],[Estoque Mínimo]],"Sim","")</f>
        <v/>
      </c>
      <c r="H161" s="33">
        <f>Tabela3[[#This Row],[Saldo Estoque]]*Tabela3[[#This Row],[Valor]]</f>
        <v>0</v>
      </c>
    </row>
    <row r="162" spans="1:8" x14ac:dyDescent="0.35">
      <c r="A162" s="1">
        <v>161</v>
      </c>
      <c r="F162" s="9">
        <f>SUMIFS(BDMovEstoque!C:C,BDMovEstoque!A:A,Tabela3[[#This Row],[Código]],BDMovEstoque!G:G,"Entrada")-SUMIFS(BDMovEstoque!C:C,BDMovEstoque!A:A,Tabela3[[#This Row],[Código]],BDMovEstoque!G:G,"Saída")</f>
        <v>0</v>
      </c>
      <c r="G162" t="str">
        <f>IF(Tabela3[[#This Row],[Saldo Estoque]]&lt;Tabela3[[#This Row],[Estoque Mínimo]],"Sim","")</f>
        <v/>
      </c>
      <c r="H162" s="33">
        <f>Tabela3[[#This Row],[Saldo Estoque]]*Tabela3[[#This Row],[Valor]]</f>
        <v>0</v>
      </c>
    </row>
    <row r="163" spans="1:8" x14ac:dyDescent="0.35">
      <c r="A163" s="1">
        <v>162</v>
      </c>
      <c r="F163" s="9">
        <f>SUMIFS(BDMovEstoque!C:C,BDMovEstoque!A:A,Tabela3[[#This Row],[Código]],BDMovEstoque!G:G,"Entrada")-SUMIFS(BDMovEstoque!C:C,BDMovEstoque!A:A,Tabela3[[#This Row],[Código]],BDMovEstoque!G:G,"Saída")</f>
        <v>0</v>
      </c>
      <c r="G163" t="str">
        <f>IF(Tabela3[[#This Row],[Saldo Estoque]]&lt;Tabela3[[#This Row],[Estoque Mínimo]],"Sim","")</f>
        <v/>
      </c>
      <c r="H163" s="33">
        <f>Tabela3[[#This Row],[Saldo Estoque]]*Tabela3[[#This Row],[Valor]]</f>
        <v>0</v>
      </c>
    </row>
    <row r="164" spans="1:8" x14ac:dyDescent="0.35">
      <c r="A164" s="1">
        <v>163</v>
      </c>
      <c r="F164" s="9">
        <f>SUMIFS(BDMovEstoque!C:C,BDMovEstoque!A:A,Tabela3[[#This Row],[Código]],BDMovEstoque!G:G,"Entrada")-SUMIFS(BDMovEstoque!C:C,BDMovEstoque!A:A,Tabela3[[#This Row],[Código]],BDMovEstoque!G:G,"Saída")</f>
        <v>0</v>
      </c>
      <c r="G164" t="str">
        <f>IF(Tabela3[[#This Row],[Saldo Estoque]]&lt;Tabela3[[#This Row],[Estoque Mínimo]],"Sim","")</f>
        <v/>
      </c>
      <c r="H164" s="33">
        <f>Tabela3[[#This Row],[Saldo Estoque]]*Tabela3[[#This Row],[Valor]]</f>
        <v>0</v>
      </c>
    </row>
    <row r="165" spans="1:8" x14ac:dyDescent="0.35">
      <c r="A165" s="1">
        <v>164</v>
      </c>
      <c r="F165" s="9">
        <f>SUMIFS(BDMovEstoque!C:C,BDMovEstoque!A:A,Tabela3[[#This Row],[Código]],BDMovEstoque!G:G,"Entrada")-SUMIFS(BDMovEstoque!C:C,BDMovEstoque!A:A,Tabela3[[#This Row],[Código]],BDMovEstoque!G:G,"Saída")</f>
        <v>0</v>
      </c>
      <c r="G165" t="str">
        <f>IF(Tabela3[[#This Row],[Saldo Estoque]]&lt;Tabela3[[#This Row],[Estoque Mínimo]],"Sim","")</f>
        <v/>
      </c>
      <c r="H165" s="33">
        <f>Tabela3[[#This Row],[Saldo Estoque]]*Tabela3[[#This Row],[Valor]]</f>
        <v>0</v>
      </c>
    </row>
    <row r="166" spans="1:8" x14ac:dyDescent="0.35">
      <c r="A166" s="1">
        <v>165</v>
      </c>
      <c r="F166" s="9">
        <f>SUMIFS(BDMovEstoque!C:C,BDMovEstoque!A:A,Tabela3[[#This Row],[Código]],BDMovEstoque!G:G,"Entrada")-SUMIFS(BDMovEstoque!C:C,BDMovEstoque!A:A,Tabela3[[#This Row],[Código]],BDMovEstoque!G:G,"Saída")</f>
        <v>0</v>
      </c>
      <c r="G166" t="str">
        <f>IF(Tabela3[[#This Row],[Saldo Estoque]]&lt;Tabela3[[#This Row],[Estoque Mínimo]],"Sim","")</f>
        <v/>
      </c>
      <c r="H166" s="33">
        <f>Tabela3[[#This Row],[Saldo Estoque]]*Tabela3[[#This Row],[Valor]]</f>
        <v>0</v>
      </c>
    </row>
    <row r="167" spans="1:8" x14ac:dyDescent="0.35">
      <c r="A167" s="1">
        <v>166</v>
      </c>
      <c r="F167" s="9">
        <f>SUMIFS(BDMovEstoque!C:C,BDMovEstoque!A:A,Tabela3[[#This Row],[Código]],BDMovEstoque!G:G,"Entrada")-SUMIFS(BDMovEstoque!C:C,BDMovEstoque!A:A,Tabela3[[#This Row],[Código]],BDMovEstoque!G:G,"Saída")</f>
        <v>0</v>
      </c>
      <c r="G167" t="str">
        <f>IF(Tabela3[[#This Row],[Saldo Estoque]]&lt;Tabela3[[#This Row],[Estoque Mínimo]],"Sim","")</f>
        <v/>
      </c>
      <c r="H167" s="33">
        <f>Tabela3[[#This Row],[Saldo Estoque]]*Tabela3[[#This Row],[Valor]]</f>
        <v>0</v>
      </c>
    </row>
    <row r="168" spans="1:8" x14ac:dyDescent="0.35">
      <c r="A168" s="1">
        <v>167</v>
      </c>
      <c r="F168" s="9">
        <f>SUMIFS(BDMovEstoque!C:C,BDMovEstoque!A:A,Tabela3[[#This Row],[Código]],BDMovEstoque!G:G,"Entrada")-SUMIFS(BDMovEstoque!C:C,BDMovEstoque!A:A,Tabela3[[#This Row],[Código]],BDMovEstoque!G:G,"Saída")</f>
        <v>0</v>
      </c>
      <c r="G168" t="str">
        <f>IF(Tabela3[[#This Row],[Saldo Estoque]]&lt;Tabela3[[#This Row],[Estoque Mínimo]],"Sim","")</f>
        <v/>
      </c>
      <c r="H168" s="33">
        <f>Tabela3[[#This Row],[Saldo Estoque]]*Tabela3[[#This Row],[Valor]]</f>
        <v>0</v>
      </c>
    </row>
    <row r="169" spans="1:8" x14ac:dyDescent="0.35">
      <c r="A169" s="1">
        <v>168</v>
      </c>
      <c r="F169" s="9">
        <f>SUMIFS(BDMovEstoque!C:C,BDMovEstoque!A:A,Tabela3[[#This Row],[Código]],BDMovEstoque!G:G,"Entrada")-SUMIFS(BDMovEstoque!C:C,BDMovEstoque!A:A,Tabela3[[#This Row],[Código]],BDMovEstoque!G:G,"Saída")</f>
        <v>0</v>
      </c>
      <c r="G169" t="str">
        <f>IF(Tabela3[[#This Row],[Saldo Estoque]]&lt;Tabela3[[#This Row],[Estoque Mínimo]],"Sim","")</f>
        <v/>
      </c>
      <c r="H169" s="33">
        <f>Tabela3[[#This Row],[Saldo Estoque]]*Tabela3[[#This Row],[Valor]]</f>
        <v>0</v>
      </c>
    </row>
    <row r="170" spans="1:8" x14ac:dyDescent="0.35">
      <c r="A170" s="1">
        <v>169</v>
      </c>
      <c r="F170" s="9">
        <f>SUMIFS(BDMovEstoque!C:C,BDMovEstoque!A:A,Tabela3[[#This Row],[Código]],BDMovEstoque!G:G,"Entrada")-SUMIFS(BDMovEstoque!C:C,BDMovEstoque!A:A,Tabela3[[#This Row],[Código]],BDMovEstoque!G:G,"Saída")</f>
        <v>0</v>
      </c>
      <c r="G170" t="str">
        <f>IF(Tabela3[[#This Row],[Saldo Estoque]]&lt;Tabela3[[#This Row],[Estoque Mínimo]],"Sim","")</f>
        <v/>
      </c>
      <c r="H170" s="33">
        <f>Tabela3[[#This Row],[Saldo Estoque]]*Tabela3[[#This Row],[Valor]]</f>
        <v>0</v>
      </c>
    </row>
    <row r="171" spans="1:8" x14ac:dyDescent="0.35">
      <c r="A171" s="1">
        <v>170</v>
      </c>
      <c r="F171" s="9">
        <f>SUMIFS(BDMovEstoque!C:C,BDMovEstoque!A:A,Tabela3[[#This Row],[Código]],BDMovEstoque!G:G,"Entrada")-SUMIFS(BDMovEstoque!C:C,BDMovEstoque!A:A,Tabela3[[#This Row],[Código]],BDMovEstoque!G:G,"Saída")</f>
        <v>0</v>
      </c>
      <c r="G171" t="str">
        <f>IF(Tabela3[[#This Row],[Saldo Estoque]]&lt;Tabela3[[#This Row],[Estoque Mínimo]],"Sim","")</f>
        <v/>
      </c>
      <c r="H171" s="33">
        <f>Tabela3[[#This Row],[Saldo Estoque]]*Tabela3[[#This Row],[Valor]]</f>
        <v>0</v>
      </c>
    </row>
    <row r="172" spans="1:8" x14ac:dyDescent="0.35">
      <c r="A172" s="1">
        <v>171</v>
      </c>
      <c r="F172" s="9">
        <f>SUMIFS(BDMovEstoque!C:C,BDMovEstoque!A:A,Tabela3[[#This Row],[Código]],BDMovEstoque!G:G,"Entrada")-SUMIFS(BDMovEstoque!C:C,BDMovEstoque!A:A,Tabela3[[#This Row],[Código]],BDMovEstoque!G:G,"Saída")</f>
        <v>0</v>
      </c>
      <c r="G172" t="str">
        <f>IF(Tabela3[[#This Row],[Saldo Estoque]]&lt;Tabela3[[#This Row],[Estoque Mínimo]],"Sim","")</f>
        <v/>
      </c>
      <c r="H172" s="33">
        <f>Tabela3[[#This Row],[Saldo Estoque]]*Tabela3[[#This Row],[Valor]]</f>
        <v>0</v>
      </c>
    </row>
    <row r="173" spans="1:8" x14ac:dyDescent="0.35">
      <c r="A173" s="1">
        <v>172</v>
      </c>
      <c r="F173" s="9">
        <f>SUMIFS(BDMovEstoque!C:C,BDMovEstoque!A:A,Tabela3[[#This Row],[Código]],BDMovEstoque!G:G,"Entrada")-SUMIFS(BDMovEstoque!C:C,BDMovEstoque!A:A,Tabela3[[#This Row],[Código]],BDMovEstoque!G:G,"Saída")</f>
        <v>0</v>
      </c>
      <c r="G173" t="str">
        <f>IF(Tabela3[[#This Row],[Saldo Estoque]]&lt;Tabela3[[#This Row],[Estoque Mínimo]],"Sim","")</f>
        <v/>
      </c>
      <c r="H173" s="33">
        <f>Tabela3[[#This Row],[Saldo Estoque]]*Tabela3[[#This Row],[Valor]]</f>
        <v>0</v>
      </c>
    </row>
    <row r="174" spans="1:8" x14ac:dyDescent="0.35">
      <c r="A174" s="1">
        <v>173</v>
      </c>
      <c r="F174" s="9">
        <f>SUMIFS(BDMovEstoque!C:C,BDMovEstoque!A:A,Tabela3[[#This Row],[Código]],BDMovEstoque!G:G,"Entrada")-SUMIFS(BDMovEstoque!C:C,BDMovEstoque!A:A,Tabela3[[#This Row],[Código]],BDMovEstoque!G:G,"Saída")</f>
        <v>0</v>
      </c>
      <c r="G174" t="str">
        <f>IF(Tabela3[[#This Row],[Saldo Estoque]]&lt;Tabela3[[#This Row],[Estoque Mínimo]],"Sim","")</f>
        <v/>
      </c>
      <c r="H174" s="33">
        <f>Tabela3[[#This Row],[Saldo Estoque]]*Tabela3[[#This Row],[Valor]]</f>
        <v>0</v>
      </c>
    </row>
    <row r="175" spans="1:8" x14ac:dyDescent="0.35">
      <c r="A175" s="1">
        <v>174</v>
      </c>
      <c r="F175" s="9">
        <f>SUMIFS(BDMovEstoque!C:C,BDMovEstoque!A:A,Tabela3[[#This Row],[Código]],BDMovEstoque!G:G,"Entrada")-SUMIFS(BDMovEstoque!C:C,BDMovEstoque!A:A,Tabela3[[#This Row],[Código]],BDMovEstoque!G:G,"Saída")</f>
        <v>0</v>
      </c>
      <c r="G175" t="str">
        <f>IF(Tabela3[[#This Row],[Saldo Estoque]]&lt;Tabela3[[#This Row],[Estoque Mínimo]],"Sim","")</f>
        <v/>
      </c>
      <c r="H175" s="33">
        <f>Tabela3[[#This Row],[Saldo Estoque]]*Tabela3[[#This Row],[Valor]]</f>
        <v>0</v>
      </c>
    </row>
    <row r="176" spans="1:8" x14ac:dyDescent="0.35">
      <c r="A176" s="1">
        <v>175</v>
      </c>
      <c r="F176" s="9">
        <f>SUMIFS(BDMovEstoque!C:C,BDMovEstoque!A:A,Tabela3[[#This Row],[Código]],BDMovEstoque!G:G,"Entrada")-SUMIFS(BDMovEstoque!C:C,BDMovEstoque!A:A,Tabela3[[#This Row],[Código]],BDMovEstoque!G:G,"Saída")</f>
        <v>0</v>
      </c>
      <c r="G176" t="str">
        <f>IF(Tabela3[[#This Row],[Saldo Estoque]]&lt;Tabela3[[#This Row],[Estoque Mínimo]],"Sim","")</f>
        <v/>
      </c>
      <c r="H176" s="33">
        <f>Tabela3[[#This Row],[Saldo Estoque]]*Tabela3[[#This Row],[Valor]]</f>
        <v>0</v>
      </c>
    </row>
    <row r="177" spans="1:8" x14ac:dyDescent="0.35">
      <c r="A177" s="1">
        <v>176</v>
      </c>
      <c r="F177" s="9">
        <f>SUMIFS(BDMovEstoque!C:C,BDMovEstoque!A:A,Tabela3[[#This Row],[Código]],BDMovEstoque!G:G,"Entrada")-SUMIFS(BDMovEstoque!C:C,BDMovEstoque!A:A,Tabela3[[#This Row],[Código]],BDMovEstoque!G:G,"Saída")</f>
        <v>0</v>
      </c>
      <c r="G177" t="str">
        <f>IF(Tabela3[[#This Row],[Saldo Estoque]]&lt;Tabela3[[#This Row],[Estoque Mínimo]],"Sim","")</f>
        <v/>
      </c>
      <c r="H177" s="33">
        <f>Tabela3[[#This Row],[Saldo Estoque]]*Tabela3[[#This Row],[Valor]]</f>
        <v>0</v>
      </c>
    </row>
    <row r="178" spans="1:8" x14ac:dyDescent="0.35">
      <c r="A178" s="1">
        <v>177</v>
      </c>
      <c r="F178" s="9">
        <f>SUMIFS(BDMovEstoque!C:C,BDMovEstoque!A:A,Tabela3[[#This Row],[Código]],BDMovEstoque!G:G,"Entrada")-SUMIFS(BDMovEstoque!C:C,BDMovEstoque!A:A,Tabela3[[#This Row],[Código]],BDMovEstoque!G:G,"Saída")</f>
        <v>0</v>
      </c>
      <c r="G178" t="str">
        <f>IF(Tabela3[[#This Row],[Saldo Estoque]]&lt;Tabela3[[#This Row],[Estoque Mínimo]],"Sim","")</f>
        <v/>
      </c>
      <c r="H178" s="33">
        <f>Tabela3[[#This Row],[Saldo Estoque]]*Tabela3[[#This Row],[Valor]]</f>
        <v>0</v>
      </c>
    </row>
    <row r="179" spans="1:8" x14ac:dyDescent="0.35">
      <c r="A179" s="1">
        <v>178</v>
      </c>
      <c r="F179" s="9">
        <f>SUMIFS(BDMovEstoque!C:C,BDMovEstoque!A:A,Tabela3[[#This Row],[Código]],BDMovEstoque!G:G,"Entrada")-SUMIFS(BDMovEstoque!C:C,BDMovEstoque!A:A,Tabela3[[#This Row],[Código]],BDMovEstoque!G:G,"Saída")</f>
        <v>0</v>
      </c>
      <c r="G179" t="str">
        <f>IF(Tabela3[[#This Row],[Saldo Estoque]]&lt;Tabela3[[#This Row],[Estoque Mínimo]],"Sim","")</f>
        <v/>
      </c>
      <c r="H179" s="33">
        <f>Tabela3[[#This Row],[Saldo Estoque]]*Tabela3[[#This Row],[Valor]]</f>
        <v>0</v>
      </c>
    </row>
    <row r="180" spans="1:8" x14ac:dyDescent="0.35">
      <c r="A180" s="1">
        <v>179</v>
      </c>
      <c r="F180" s="9">
        <f>SUMIFS(BDMovEstoque!C:C,BDMovEstoque!A:A,Tabela3[[#This Row],[Código]],BDMovEstoque!G:G,"Entrada")-SUMIFS(BDMovEstoque!C:C,BDMovEstoque!A:A,Tabela3[[#This Row],[Código]],BDMovEstoque!G:G,"Saída")</f>
        <v>0</v>
      </c>
      <c r="G180" t="str">
        <f>IF(Tabela3[[#This Row],[Saldo Estoque]]&lt;Tabela3[[#This Row],[Estoque Mínimo]],"Sim","")</f>
        <v/>
      </c>
      <c r="H180" s="33">
        <f>Tabela3[[#This Row],[Saldo Estoque]]*Tabela3[[#This Row],[Valor]]</f>
        <v>0</v>
      </c>
    </row>
    <row r="181" spans="1:8" x14ac:dyDescent="0.35">
      <c r="A181" s="1">
        <v>180</v>
      </c>
      <c r="F181" s="9">
        <f>SUMIFS(BDMovEstoque!C:C,BDMovEstoque!A:A,Tabela3[[#This Row],[Código]],BDMovEstoque!G:G,"Entrada")-SUMIFS(BDMovEstoque!C:C,BDMovEstoque!A:A,Tabela3[[#This Row],[Código]],BDMovEstoque!G:G,"Saída")</f>
        <v>0</v>
      </c>
      <c r="G181" t="str">
        <f>IF(Tabela3[[#This Row],[Saldo Estoque]]&lt;Tabela3[[#This Row],[Estoque Mínimo]],"Sim","")</f>
        <v/>
      </c>
      <c r="H181" s="33">
        <f>Tabela3[[#This Row],[Saldo Estoque]]*Tabela3[[#This Row],[Valor]]</f>
        <v>0</v>
      </c>
    </row>
    <row r="182" spans="1:8" x14ac:dyDescent="0.35">
      <c r="A182" s="1">
        <v>181</v>
      </c>
      <c r="F182" s="9">
        <f>SUMIFS(BDMovEstoque!C:C,BDMovEstoque!A:A,Tabela3[[#This Row],[Código]],BDMovEstoque!G:G,"Entrada")-SUMIFS(BDMovEstoque!C:C,BDMovEstoque!A:A,Tabela3[[#This Row],[Código]],BDMovEstoque!G:G,"Saída")</f>
        <v>0</v>
      </c>
      <c r="G182" t="str">
        <f>IF(Tabela3[[#This Row],[Saldo Estoque]]&lt;Tabela3[[#This Row],[Estoque Mínimo]],"Sim","")</f>
        <v/>
      </c>
      <c r="H182" s="33">
        <f>Tabela3[[#This Row],[Saldo Estoque]]*Tabela3[[#This Row],[Valor]]</f>
        <v>0</v>
      </c>
    </row>
    <row r="183" spans="1:8" x14ac:dyDescent="0.35">
      <c r="A183" s="1">
        <v>182</v>
      </c>
      <c r="F183" s="9">
        <f>SUMIFS(BDMovEstoque!C:C,BDMovEstoque!A:A,Tabela3[[#This Row],[Código]],BDMovEstoque!G:G,"Entrada")-SUMIFS(BDMovEstoque!C:C,BDMovEstoque!A:A,Tabela3[[#This Row],[Código]],BDMovEstoque!G:G,"Saída")</f>
        <v>0</v>
      </c>
      <c r="G183" t="str">
        <f>IF(Tabela3[[#This Row],[Saldo Estoque]]&lt;Tabela3[[#This Row],[Estoque Mínimo]],"Sim","")</f>
        <v/>
      </c>
      <c r="H183" s="33">
        <f>Tabela3[[#This Row],[Saldo Estoque]]*Tabela3[[#This Row],[Valor]]</f>
        <v>0</v>
      </c>
    </row>
    <row r="184" spans="1:8" x14ac:dyDescent="0.35">
      <c r="A184" s="1">
        <v>183</v>
      </c>
      <c r="F184" s="9">
        <f>SUMIFS(BDMovEstoque!C:C,BDMovEstoque!A:A,Tabela3[[#This Row],[Código]],BDMovEstoque!G:G,"Entrada")-SUMIFS(BDMovEstoque!C:C,BDMovEstoque!A:A,Tabela3[[#This Row],[Código]],BDMovEstoque!G:G,"Saída")</f>
        <v>0</v>
      </c>
      <c r="G184" t="str">
        <f>IF(Tabela3[[#This Row],[Saldo Estoque]]&lt;Tabela3[[#This Row],[Estoque Mínimo]],"Sim","")</f>
        <v/>
      </c>
      <c r="H184" s="33">
        <f>Tabela3[[#This Row],[Saldo Estoque]]*Tabela3[[#This Row],[Valor]]</f>
        <v>0</v>
      </c>
    </row>
    <row r="185" spans="1:8" x14ac:dyDescent="0.35">
      <c r="A185" s="1">
        <v>184</v>
      </c>
      <c r="F185" s="9">
        <f>SUMIFS(BDMovEstoque!C:C,BDMovEstoque!A:A,Tabela3[[#This Row],[Código]],BDMovEstoque!G:G,"Entrada")-SUMIFS(BDMovEstoque!C:C,BDMovEstoque!A:A,Tabela3[[#This Row],[Código]],BDMovEstoque!G:G,"Saída")</f>
        <v>0</v>
      </c>
      <c r="G185" t="str">
        <f>IF(Tabela3[[#This Row],[Saldo Estoque]]&lt;Tabela3[[#This Row],[Estoque Mínimo]],"Sim","")</f>
        <v/>
      </c>
      <c r="H185" s="33">
        <f>Tabela3[[#This Row],[Saldo Estoque]]*Tabela3[[#This Row],[Valor]]</f>
        <v>0</v>
      </c>
    </row>
    <row r="186" spans="1:8" x14ac:dyDescent="0.35">
      <c r="A186" s="1">
        <v>185</v>
      </c>
      <c r="F186" s="9">
        <f>SUMIFS(BDMovEstoque!C:C,BDMovEstoque!A:A,Tabela3[[#This Row],[Código]],BDMovEstoque!G:G,"Entrada")-SUMIFS(BDMovEstoque!C:C,BDMovEstoque!A:A,Tabela3[[#This Row],[Código]],BDMovEstoque!G:G,"Saída")</f>
        <v>0</v>
      </c>
      <c r="G186" t="str">
        <f>IF(Tabela3[[#This Row],[Saldo Estoque]]&lt;Tabela3[[#This Row],[Estoque Mínimo]],"Sim","")</f>
        <v/>
      </c>
      <c r="H186" s="33">
        <f>Tabela3[[#This Row],[Saldo Estoque]]*Tabela3[[#This Row],[Valor]]</f>
        <v>0</v>
      </c>
    </row>
    <row r="187" spans="1:8" x14ac:dyDescent="0.35">
      <c r="A187" s="1">
        <v>186</v>
      </c>
      <c r="F187" s="9">
        <f>SUMIFS(BDMovEstoque!C:C,BDMovEstoque!A:A,Tabela3[[#This Row],[Código]],BDMovEstoque!G:G,"Entrada")-SUMIFS(BDMovEstoque!C:C,BDMovEstoque!A:A,Tabela3[[#This Row],[Código]],BDMovEstoque!G:G,"Saída")</f>
        <v>0</v>
      </c>
      <c r="G187" t="str">
        <f>IF(Tabela3[[#This Row],[Saldo Estoque]]&lt;Tabela3[[#This Row],[Estoque Mínimo]],"Sim","")</f>
        <v/>
      </c>
      <c r="H187" s="33">
        <f>Tabela3[[#This Row],[Saldo Estoque]]*Tabela3[[#This Row],[Valor]]</f>
        <v>0</v>
      </c>
    </row>
    <row r="188" spans="1:8" x14ac:dyDescent="0.35">
      <c r="A188" s="1">
        <v>187</v>
      </c>
      <c r="F188" s="9">
        <f>SUMIFS(BDMovEstoque!C:C,BDMovEstoque!A:A,Tabela3[[#This Row],[Código]],BDMovEstoque!G:G,"Entrada")-SUMIFS(BDMovEstoque!C:C,BDMovEstoque!A:A,Tabela3[[#This Row],[Código]],BDMovEstoque!G:G,"Saída")</f>
        <v>0</v>
      </c>
      <c r="G188" t="str">
        <f>IF(Tabela3[[#This Row],[Saldo Estoque]]&lt;Tabela3[[#This Row],[Estoque Mínimo]],"Sim","")</f>
        <v/>
      </c>
      <c r="H188" s="33">
        <f>Tabela3[[#This Row],[Saldo Estoque]]*Tabela3[[#This Row],[Valor]]</f>
        <v>0</v>
      </c>
    </row>
    <row r="189" spans="1:8" x14ac:dyDescent="0.35">
      <c r="A189" s="1">
        <v>188</v>
      </c>
      <c r="F189" s="9">
        <f>SUMIFS(BDMovEstoque!C:C,BDMovEstoque!A:A,Tabela3[[#This Row],[Código]],BDMovEstoque!G:G,"Entrada")-SUMIFS(BDMovEstoque!C:C,BDMovEstoque!A:A,Tabela3[[#This Row],[Código]],BDMovEstoque!G:G,"Saída")</f>
        <v>0</v>
      </c>
      <c r="G189" t="str">
        <f>IF(Tabela3[[#This Row],[Saldo Estoque]]&lt;Tabela3[[#This Row],[Estoque Mínimo]],"Sim","")</f>
        <v/>
      </c>
      <c r="H189" s="33">
        <f>Tabela3[[#This Row],[Saldo Estoque]]*Tabela3[[#This Row],[Valor]]</f>
        <v>0</v>
      </c>
    </row>
    <row r="190" spans="1:8" x14ac:dyDescent="0.35">
      <c r="A190" s="1">
        <v>189</v>
      </c>
      <c r="F190" s="9">
        <f>SUMIFS(BDMovEstoque!C:C,BDMovEstoque!A:A,Tabela3[[#This Row],[Código]],BDMovEstoque!G:G,"Entrada")-SUMIFS(BDMovEstoque!C:C,BDMovEstoque!A:A,Tabela3[[#This Row],[Código]],BDMovEstoque!G:G,"Saída")</f>
        <v>0</v>
      </c>
      <c r="G190" t="str">
        <f>IF(Tabela3[[#This Row],[Saldo Estoque]]&lt;Tabela3[[#This Row],[Estoque Mínimo]],"Sim","")</f>
        <v/>
      </c>
      <c r="H190" s="33">
        <f>Tabela3[[#This Row],[Saldo Estoque]]*Tabela3[[#This Row],[Valor]]</f>
        <v>0</v>
      </c>
    </row>
    <row r="191" spans="1:8" x14ac:dyDescent="0.35">
      <c r="A191" s="1">
        <v>190</v>
      </c>
      <c r="F191" s="9">
        <f>SUMIFS(BDMovEstoque!C:C,BDMovEstoque!A:A,Tabela3[[#This Row],[Código]],BDMovEstoque!G:G,"Entrada")-SUMIFS(BDMovEstoque!C:C,BDMovEstoque!A:A,Tabela3[[#This Row],[Código]],BDMovEstoque!G:G,"Saída")</f>
        <v>0</v>
      </c>
      <c r="G191" t="str">
        <f>IF(Tabela3[[#This Row],[Saldo Estoque]]&lt;Tabela3[[#This Row],[Estoque Mínimo]],"Sim","")</f>
        <v/>
      </c>
      <c r="H191" s="33">
        <f>Tabela3[[#This Row],[Saldo Estoque]]*Tabela3[[#This Row],[Valor]]</f>
        <v>0</v>
      </c>
    </row>
    <row r="192" spans="1:8" x14ac:dyDescent="0.35">
      <c r="A192" s="1">
        <v>191</v>
      </c>
      <c r="F192" s="9">
        <f>SUMIFS(BDMovEstoque!C:C,BDMovEstoque!A:A,Tabela3[[#This Row],[Código]],BDMovEstoque!G:G,"Entrada")-SUMIFS(BDMovEstoque!C:C,BDMovEstoque!A:A,Tabela3[[#This Row],[Código]],BDMovEstoque!G:G,"Saída")</f>
        <v>0</v>
      </c>
      <c r="G192" t="str">
        <f>IF(Tabela3[[#This Row],[Saldo Estoque]]&lt;Tabela3[[#This Row],[Estoque Mínimo]],"Sim","")</f>
        <v/>
      </c>
      <c r="H192" s="33">
        <f>Tabela3[[#This Row],[Saldo Estoque]]*Tabela3[[#This Row],[Valor]]</f>
        <v>0</v>
      </c>
    </row>
    <row r="193" spans="1:8" x14ac:dyDescent="0.35">
      <c r="A193" s="1">
        <v>192</v>
      </c>
      <c r="F193" s="9">
        <f>SUMIFS(BDMovEstoque!C:C,BDMovEstoque!A:A,Tabela3[[#This Row],[Código]],BDMovEstoque!G:G,"Entrada")-SUMIFS(BDMovEstoque!C:C,BDMovEstoque!A:A,Tabela3[[#This Row],[Código]],BDMovEstoque!G:G,"Saída")</f>
        <v>0</v>
      </c>
      <c r="G193" t="str">
        <f>IF(Tabela3[[#This Row],[Saldo Estoque]]&lt;Tabela3[[#This Row],[Estoque Mínimo]],"Sim","")</f>
        <v/>
      </c>
      <c r="H193" s="33">
        <f>Tabela3[[#This Row],[Saldo Estoque]]*Tabela3[[#This Row],[Valor]]</f>
        <v>0</v>
      </c>
    </row>
    <row r="194" spans="1:8" x14ac:dyDescent="0.35">
      <c r="A194" s="1">
        <v>193</v>
      </c>
      <c r="F194" s="9">
        <f>SUMIFS(BDMovEstoque!C:C,BDMovEstoque!A:A,Tabela3[[#This Row],[Código]],BDMovEstoque!G:G,"Entrada")-SUMIFS(BDMovEstoque!C:C,BDMovEstoque!A:A,Tabela3[[#This Row],[Código]],BDMovEstoque!G:G,"Saída")</f>
        <v>0</v>
      </c>
      <c r="G194" t="str">
        <f>IF(Tabela3[[#This Row],[Saldo Estoque]]&lt;Tabela3[[#This Row],[Estoque Mínimo]],"Sim","")</f>
        <v/>
      </c>
      <c r="H194" s="33">
        <f>Tabela3[[#This Row],[Saldo Estoque]]*Tabela3[[#This Row],[Valor]]</f>
        <v>0</v>
      </c>
    </row>
    <row r="195" spans="1:8" x14ac:dyDescent="0.35">
      <c r="A195" s="1">
        <v>194</v>
      </c>
      <c r="F195" s="9">
        <f>SUMIFS(BDMovEstoque!C:C,BDMovEstoque!A:A,Tabela3[[#This Row],[Código]],BDMovEstoque!G:G,"Entrada")-SUMIFS(BDMovEstoque!C:C,BDMovEstoque!A:A,Tabela3[[#This Row],[Código]],BDMovEstoque!G:G,"Saída")</f>
        <v>0</v>
      </c>
      <c r="G195" t="str">
        <f>IF(Tabela3[[#This Row],[Saldo Estoque]]&lt;Tabela3[[#This Row],[Estoque Mínimo]],"Sim","")</f>
        <v/>
      </c>
      <c r="H195" s="33">
        <f>Tabela3[[#This Row],[Saldo Estoque]]*Tabela3[[#This Row],[Valor]]</f>
        <v>0</v>
      </c>
    </row>
    <row r="196" spans="1:8" x14ac:dyDescent="0.35">
      <c r="A196" s="1">
        <v>195</v>
      </c>
      <c r="F196" s="9">
        <f>SUMIFS(BDMovEstoque!C:C,BDMovEstoque!A:A,Tabela3[[#This Row],[Código]],BDMovEstoque!G:G,"Entrada")-SUMIFS(BDMovEstoque!C:C,BDMovEstoque!A:A,Tabela3[[#This Row],[Código]],BDMovEstoque!G:G,"Saída")</f>
        <v>0</v>
      </c>
      <c r="G196" t="str">
        <f>IF(Tabela3[[#This Row],[Saldo Estoque]]&lt;Tabela3[[#This Row],[Estoque Mínimo]],"Sim","")</f>
        <v/>
      </c>
      <c r="H196" s="33">
        <f>Tabela3[[#This Row],[Saldo Estoque]]*Tabela3[[#This Row],[Valor]]</f>
        <v>0</v>
      </c>
    </row>
    <row r="197" spans="1:8" x14ac:dyDescent="0.35">
      <c r="A197" s="1">
        <v>196</v>
      </c>
      <c r="F197" s="9">
        <f>SUMIFS(BDMovEstoque!C:C,BDMovEstoque!A:A,Tabela3[[#This Row],[Código]],BDMovEstoque!G:G,"Entrada")-SUMIFS(BDMovEstoque!C:C,BDMovEstoque!A:A,Tabela3[[#This Row],[Código]],BDMovEstoque!G:G,"Saída")</f>
        <v>0</v>
      </c>
      <c r="G197" t="str">
        <f>IF(Tabela3[[#This Row],[Saldo Estoque]]&lt;Tabela3[[#This Row],[Estoque Mínimo]],"Sim","")</f>
        <v/>
      </c>
      <c r="H197" s="33">
        <f>Tabela3[[#This Row],[Saldo Estoque]]*Tabela3[[#This Row],[Valor]]</f>
        <v>0</v>
      </c>
    </row>
    <row r="198" spans="1:8" x14ac:dyDescent="0.35">
      <c r="A198" s="1">
        <v>197</v>
      </c>
      <c r="F198" s="9">
        <f>SUMIFS(BDMovEstoque!C:C,BDMovEstoque!A:A,Tabela3[[#This Row],[Código]],BDMovEstoque!G:G,"Entrada")-SUMIFS(BDMovEstoque!C:C,BDMovEstoque!A:A,Tabela3[[#This Row],[Código]],BDMovEstoque!G:G,"Saída")</f>
        <v>0</v>
      </c>
      <c r="G198" t="str">
        <f>IF(Tabela3[[#This Row],[Saldo Estoque]]&lt;Tabela3[[#This Row],[Estoque Mínimo]],"Sim","")</f>
        <v/>
      </c>
      <c r="H198" s="33">
        <f>Tabela3[[#This Row],[Saldo Estoque]]*Tabela3[[#This Row],[Valor]]</f>
        <v>0</v>
      </c>
    </row>
    <row r="199" spans="1:8" x14ac:dyDescent="0.35">
      <c r="A199" s="1">
        <v>198</v>
      </c>
      <c r="F199" s="9">
        <f>SUMIFS(BDMovEstoque!C:C,BDMovEstoque!A:A,Tabela3[[#This Row],[Código]],BDMovEstoque!G:G,"Entrada")-SUMIFS(BDMovEstoque!C:C,BDMovEstoque!A:A,Tabela3[[#This Row],[Código]],BDMovEstoque!G:G,"Saída")</f>
        <v>0</v>
      </c>
      <c r="G199" t="str">
        <f>IF(Tabela3[[#This Row],[Saldo Estoque]]&lt;Tabela3[[#This Row],[Estoque Mínimo]],"Sim","")</f>
        <v/>
      </c>
      <c r="H199" s="33">
        <f>Tabela3[[#This Row],[Saldo Estoque]]*Tabela3[[#This Row],[Valor]]</f>
        <v>0</v>
      </c>
    </row>
    <row r="200" spans="1:8" x14ac:dyDescent="0.35">
      <c r="A200" s="1">
        <v>199</v>
      </c>
      <c r="F200" s="9">
        <f>SUMIFS(BDMovEstoque!C:C,BDMovEstoque!A:A,Tabela3[[#This Row],[Código]],BDMovEstoque!G:G,"Entrada")-SUMIFS(BDMovEstoque!C:C,BDMovEstoque!A:A,Tabela3[[#This Row],[Código]],BDMovEstoque!G:G,"Saída")</f>
        <v>0</v>
      </c>
      <c r="G200" t="str">
        <f>IF(Tabela3[[#This Row],[Saldo Estoque]]&lt;Tabela3[[#This Row],[Estoque Mínimo]],"Sim","")</f>
        <v/>
      </c>
      <c r="H200" s="33">
        <f>Tabela3[[#This Row],[Saldo Estoque]]*Tabela3[[#This Row],[Valor]]</f>
        <v>0</v>
      </c>
    </row>
    <row r="201" spans="1:8" x14ac:dyDescent="0.35">
      <c r="A201" s="1">
        <v>200</v>
      </c>
      <c r="F201" s="9">
        <f>SUMIFS(BDMovEstoque!C:C,BDMovEstoque!A:A,Tabela3[[#This Row],[Código]],BDMovEstoque!G:G,"Entrada")-SUMIFS(BDMovEstoque!C:C,BDMovEstoque!A:A,Tabela3[[#This Row],[Código]],BDMovEstoque!G:G,"Saída")</f>
        <v>0</v>
      </c>
      <c r="G201" t="str">
        <f>IF(Tabela3[[#This Row],[Saldo Estoque]]&lt;Tabela3[[#This Row],[Estoque Mínimo]],"Sim","")</f>
        <v/>
      </c>
      <c r="H201" s="33">
        <f>Tabela3[[#This Row],[Saldo Estoque]]*Tabela3[[#This Row],[Valor]]</f>
        <v>0</v>
      </c>
    </row>
    <row r="202" spans="1:8" x14ac:dyDescent="0.35">
      <c r="A202" s="1">
        <v>201</v>
      </c>
      <c r="F202" s="9">
        <f>SUMIFS(BDMovEstoque!C:C,BDMovEstoque!A:A,Tabela3[[#This Row],[Código]],BDMovEstoque!G:G,"Entrada")-SUMIFS(BDMovEstoque!C:C,BDMovEstoque!A:A,Tabela3[[#This Row],[Código]],BDMovEstoque!G:G,"Saída")</f>
        <v>0</v>
      </c>
      <c r="G202" t="str">
        <f>IF(Tabela3[[#This Row],[Saldo Estoque]]&lt;Tabela3[[#This Row],[Estoque Mínimo]],"Sim","")</f>
        <v/>
      </c>
      <c r="H202" s="33">
        <f>Tabela3[[#This Row],[Saldo Estoque]]*Tabela3[[#This Row],[Valor]]</f>
        <v>0</v>
      </c>
    </row>
    <row r="203" spans="1:8" x14ac:dyDescent="0.35">
      <c r="A203" s="1">
        <v>202</v>
      </c>
      <c r="F203" s="9">
        <f>SUMIFS(BDMovEstoque!C:C,BDMovEstoque!A:A,Tabela3[[#This Row],[Código]],BDMovEstoque!G:G,"Entrada")-SUMIFS(BDMovEstoque!C:C,BDMovEstoque!A:A,Tabela3[[#This Row],[Código]],BDMovEstoque!G:G,"Saída")</f>
        <v>0</v>
      </c>
      <c r="G203" t="str">
        <f>IF(Tabela3[[#This Row],[Saldo Estoque]]&lt;Tabela3[[#This Row],[Estoque Mínimo]],"Sim","")</f>
        <v/>
      </c>
      <c r="H203" s="33">
        <f>Tabela3[[#This Row],[Saldo Estoque]]*Tabela3[[#This Row],[Valor]]</f>
        <v>0</v>
      </c>
    </row>
    <row r="204" spans="1:8" x14ac:dyDescent="0.35">
      <c r="A204" s="1">
        <v>203</v>
      </c>
      <c r="F204" s="9">
        <f>SUMIFS(BDMovEstoque!C:C,BDMovEstoque!A:A,Tabela3[[#This Row],[Código]],BDMovEstoque!G:G,"Entrada")-SUMIFS(BDMovEstoque!C:C,BDMovEstoque!A:A,Tabela3[[#This Row],[Código]],BDMovEstoque!G:G,"Saída")</f>
        <v>0</v>
      </c>
      <c r="G204" t="str">
        <f>IF(Tabela3[[#This Row],[Saldo Estoque]]&lt;Tabela3[[#This Row],[Estoque Mínimo]],"Sim","")</f>
        <v/>
      </c>
      <c r="H204" s="33">
        <f>Tabela3[[#This Row],[Saldo Estoque]]*Tabela3[[#This Row],[Valor]]</f>
        <v>0</v>
      </c>
    </row>
    <row r="205" spans="1:8" x14ac:dyDescent="0.35">
      <c r="A205" s="1">
        <v>204</v>
      </c>
      <c r="F205" s="9">
        <f>SUMIFS(BDMovEstoque!C:C,BDMovEstoque!A:A,Tabela3[[#This Row],[Código]],BDMovEstoque!G:G,"Entrada")-SUMIFS(BDMovEstoque!C:C,BDMovEstoque!A:A,Tabela3[[#This Row],[Código]],BDMovEstoque!G:G,"Saída")</f>
        <v>0</v>
      </c>
      <c r="G205" t="str">
        <f>IF(Tabela3[[#This Row],[Saldo Estoque]]&lt;Tabela3[[#This Row],[Estoque Mínimo]],"Sim","")</f>
        <v/>
      </c>
      <c r="H205" s="33">
        <f>Tabela3[[#This Row],[Saldo Estoque]]*Tabela3[[#This Row],[Valor]]</f>
        <v>0</v>
      </c>
    </row>
    <row r="206" spans="1:8" x14ac:dyDescent="0.35">
      <c r="A206" s="1">
        <v>205</v>
      </c>
      <c r="F206" s="9">
        <f>SUMIFS(BDMovEstoque!C:C,BDMovEstoque!A:A,Tabela3[[#This Row],[Código]],BDMovEstoque!G:G,"Entrada")-SUMIFS(BDMovEstoque!C:C,BDMovEstoque!A:A,Tabela3[[#This Row],[Código]],BDMovEstoque!G:G,"Saída")</f>
        <v>0</v>
      </c>
      <c r="G206" t="str">
        <f>IF(Tabela3[[#This Row],[Saldo Estoque]]&lt;Tabela3[[#This Row],[Estoque Mínimo]],"Sim","")</f>
        <v/>
      </c>
      <c r="H206" s="33">
        <f>Tabela3[[#This Row],[Saldo Estoque]]*Tabela3[[#This Row],[Valor]]</f>
        <v>0</v>
      </c>
    </row>
    <row r="207" spans="1:8" x14ac:dyDescent="0.35">
      <c r="A207" s="1">
        <v>206</v>
      </c>
      <c r="F207" s="9">
        <f>SUMIFS(BDMovEstoque!C:C,BDMovEstoque!A:A,Tabela3[[#This Row],[Código]],BDMovEstoque!G:G,"Entrada")-SUMIFS(BDMovEstoque!C:C,BDMovEstoque!A:A,Tabela3[[#This Row],[Código]],BDMovEstoque!G:G,"Saída")</f>
        <v>0</v>
      </c>
      <c r="G207" t="str">
        <f>IF(Tabela3[[#This Row],[Saldo Estoque]]&lt;Tabela3[[#This Row],[Estoque Mínimo]],"Sim","")</f>
        <v/>
      </c>
      <c r="H207" s="33">
        <f>Tabela3[[#This Row],[Saldo Estoque]]*Tabela3[[#This Row],[Valor]]</f>
        <v>0</v>
      </c>
    </row>
    <row r="208" spans="1:8" x14ac:dyDescent="0.35">
      <c r="A208" s="1">
        <v>207</v>
      </c>
      <c r="F208" s="9">
        <f>SUMIFS(BDMovEstoque!C:C,BDMovEstoque!A:A,Tabela3[[#This Row],[Código]],BDMovEstoque!G:G,"Entrada")-SUMIFS(BDMovEstoque!C:C,BDMovEstoque!A:A,Tabela3[[#This Row],[Código]],BDMovEstoque!G:G,"Saída")</f>
        <v>0</v>
      </c>
      <c r="G208" t="str">
        <f>IF(Tabela3[[#This Row],[Saldo Estoque]]&lt;Tabela3[[#This Row],[Estoque Mínimo]],"Sim","")</f>
        <v/>
      </c>
      <c r="H208" s="33">
        <f>Tabela3[[#This Row],[Saldo Estoque]]*Tabela3[[#This Row],[Valor]]</f>
        <v>0</v>
      </c>
    </row>
    <row r="209" spans="1:8" x14ac:dyDescent="0.35">
      <c r="A209" s="1">
        <v>208</v>
      </c>
      <c r="F209" s="9">
        <f>SUMIFS(BDMovEstoque!C:C,BDMovEstoque!A:A,Tabela3[[#This Row],[Código]],BDMovEstoque!G:G,"Entrada")-SUMIFS(BDMovEstoque!C:C,BDMovEstoque!A:A,Tabela3[[#This Row],[Código]],BDMovEstoque!G:G,"Saída")</f>
        <v>0</v>
      </c>
      <c r="G209" t="str">
        <f>IF(Tabela3[[#This Row],[Saldo Estoque]]&lt;Tabela3[[#This Row],[Estoque Mínimo]],"Sim","")</f>
        <v/>
      </c>
      <c r="H209" s="33">
        <f>Tabela3[[#This Row],[Saldo Estoque]]*Tabela3[[#This Row],[Valor]]</f>
        <v>0</v>
      </c>
    </row>
    <row r="210" spans="1:8" x14ac:dyDescent="0.35">
      <c r="A210" s="1">
        <v>209</v>
      </c>
      <c r="F210" s="9">
        <f>SUMIFS(BDMovEstoque!C:C,BDMovEstoque!A:A,Tabela3[[#This Row],[Código]],BDMovEstoque!G:G,"Entrada")-SUMIFS(BDMovEstoque!C:C,BDMovEstoque!A:A,Tabela3[[#This Row],[Código]],BDMovEstoque!G:G,"Saída")</f>
        <v>0</v>
      </c>
      <c r="G210" t="str">
        <f>IF(Tabela3[[#This Row],[Saldo Estoque]]&lt;Tabela3[[#This Row],[Estoque Mínimo]],"Sim","")</f>
        <v/>
      </c>
      <c r="H210" s="33">
        <f>Tabela3[[#This Row],[Saldo Estoque]]*Tabela3[[#This Row],[Valor]]</f>
        <v>0</v>
      </c>
    </row>
    <row r="211" spans="1:8" x14ac:dyDescent="0.35">
      <c r="A211" s="1">
        <v>210</v>
      </c>
      <c r="F211" s="9">
        <f>SUMIFS(BDMovEstoque!C:C,BDMovEstoque!A:A,Tabela3[[#This Row],[Código]],BDMovEstoque!G:G,"Entrada")-SUMIFS(BDMovEstoque!C:C,BDMovEstoque!A:A,Tabela3[[#This Row],[Código]],BDMovEstoque!G:G,"Saída")</f>
        <v>0</v>
      </c>
      <c r="G211" t="str">
        <f>IF(Tabela3[[#This Row],[Saldo Estoque]]&lt;Tabela3[[#This Row],[Estoque Mínimo]],"Sim","")</f>
        <v/>
      </c>
      <c r="H211" s="33">
        <f>Tabela3[[#This Row],[Saldo Estoque]]*Tabela3[[#This Row],[Valor]]</f>
        <v>0</v>
      </c>
    </row>
    <row r="212" spans="1:8" x14ac:dyDescent="0.35">
      <c r="A212" s="1">
        <v>211</v>
      </c>
      <c r="F212" s="9">
        <f>SUMIFS(BDMovEstoque!C:C,BDMovEstoque!A:A,Tabela3[[#This Row],[Código]],BDMovEstoque!G:G,"Entrada")-SUMIFS(BDMovEstoque!C:C,BDMovEstoque!A:A,Tabela3[[#This Row],[Código]],BDMovEstoque!G:G,"Saída")</f>
        <v>0</v>
      </c>
      <c r="G212" t="str">
        <f>IF(Tabela3[[#This Row],[Saldo Estoque]]&lt;Tabela3[[#This Row],[Estoque Mínimo]],"Sim","")</f>
        <v/>
      </c>
      <c r="H212" s="33">
        <f>Tabela3[[#This Row],[Saldo Estoque]]*Tabela3[[#This Row],[Valor]]</f>
        <v>0</v>
      </c>
    </row>
    <row r="213" spans="1:8" x14ac:dyDescent="0.35">
      <c r="A213" s="1">
        <v>212</v>
      </c>
      <c r="F213" s="9">
        <f>SUMIFS(BDMovEstoque!C:C,BDMovEstoque!A:A,Tabela3[[#This Row],[Código]],BDMovEstoque!G:G,"Entrada")-SUMIFS(BDMovEstoque!C:C,BDMovEstoque!A:A,Tabela3[[#This Row],[Código]],BDMovEstoque!G:G,"Saída")</f>
        <v>0</v>
      </c>
      <c r="G213" t="str">
        <f>IF(Tabela3[[#This Row],[Saldo Estoque]]&lt;Tabela3[[#This Row],[Estoque Mínimo]],"Sim","")</f>
        <v/>
      </c>
      <c r="H213" s="33">
        <f>Tabela3[[#This Row],[Saldo Estoque]]*Tabela3[[#This Row],[Valor]]</f>
        <v>0</v>
      </c>
    </row>
    <row r="214" spans="1:8" x14ac:dyDescent="0.35">
      <c r="A214" s="1">
        <v>213</v>
      </c>
      <c r="F214" s="9">
        <f>SUMIFS(BDMovEstoque!C:C,BDMovEstoque!A:A,Tabela3[[#This Row],[Código]],BDMovEstoque!G:G,"Entrada")-SUMIFS(BDMovEstoque!C:C,BDMovEstoque!A:A,Tabela3[[#This Row],[Código]],BDMovEstoque!G:G,"Saída")</f>
        <v>0</v>
      </c>
      <c r="G214" t="str">
        <f>IF(Tabela3[[#This Row],[Saldo Estoque]]&lt;Tabela3[[#This Row],[Estoque Mínimo]],"Sim","")</f>
        <v/>
      </c>
      <c r="H214" s="33">
        <f>Tabela3[[#This Row],[Saldo Estoque]]*Tabela3[[#This Row],[Valor]]</f>
        <v>0</v>
      </c>
    </row>
    <row r="215" spans="1:8" x14ac:dyDescent="0.35">
      <c r="A215" s="1">
        <v>214</v>
      </c>
      <c r="F215" s="9">
        <f>SUMIFS(BDMovEstoque!C:C,BDMovEstoque!A:A,Tabela3[[#This Row],[Código]],BDMovEstoque!G:G,"Entrada")-SUMIFS(BDMovEstoque!C:C,BDMovEstoque!A:A,Tabela3[[#This Row],[Código]],BDMovEstoque!G:G,"Saída")</f>
        <v>0</v>
      </c>
      <c r="G215" t="str">
        <f>IF(Tabela3[[#This Row],[Saldo Estoque]]&lt;Tabela3[[#This Row],[Estoque Mínimo]],"Sim","")</f>
        <v/>
      </c>
      <c r="H215" s="33">
        <f>Tabela3[[#This Row],[Saldo Estoque]]*Tabela3[[#This Row],[Valor]]</f>
        <v>0</v>
      </c>
    </row>
    <row r="216" spans="1:8" x14ac:dyDescent="0.35">
      <c r="A216" s="1">
        <v>215</v>
      </c>
      <c r="F216" s="9">
        <f>SUMIFS(BDMovEstoque!C:C,BDMovEstoque!A:A,Tabela3[[#This Row],[Código]],BDMovEstoque!G:G,"Entrada")-SUMIFS(BDMovEstoque!C:C,BDMovEstoque!A:A,Tabela3[[#This Row],[Código]],BDMovEstoque!G:G,"Saída")</f>
        <v>0</v>
      </c>
      <c r="G216" t="str">
        <f>IF(Tabela3[[#This Row],[Saldo Estoque]]&lt;Tabela3[[#This Row],[Estoque Mínimo]],"Sim","")</f>
        <v/>
      </c>
      <c r="H216" s="33">
        <f>Tabela3[[#This Row],[Saldo Estoque]]*Tabela3[[#This Row],[Valor]]</f>
        <v>0</v>
      </c>
    </row>
    <row r="217" spans="1:8" x14ac:dyDescent="0.35">
      <c r="A217" s="1">
        <v>216</v>
      </c>
      <c r="F217" s="9">
        <f>SUMIFS(BDMovEstoque!C:C,BDMovEstoque!A:A,Tabela3[[#This Row],[Código]],BDMovEstoque!G:G,"Entrada")-SUMIFS(BDMovEstoque!C:C,BDMovEstoque!A:A,Tabela3[[#This Row],[Código]],BDMovEstoque!G:G,"Saída")</f>
        <v>0</v>
      </c>
      <c r="G217" t="str">
        <f>IF(Tabela3[[#This Row],[Saldo Estoque]]&lt;Tabela3[[#This Row],[Estoque Mínimo]],"Sim","")</f>
        <v/>
      </c>
      <c r="H217" s="33">
        <f>Tabela3[[#This Row],[Saldo Estoque]]*Tabela3[[#This Row],[Valor]]</f>
        <v>0</v>
      </c>
    </row>
    <row r="218" spans="1:8" x14ac:dyDescent="0.35">
      <c r="A218" s="1">
        <v>217</v>
      </c>
      <c r="F218" s="9">
        <f>SUMIFS(BDMovEstoque!C:C,BDMovEstoque!A:A,Tabela3[[#This Row],[Código]],BDMovEstoque!G:G,"Entrada")-SUMIFS(BDMovEstoque!C:C,BDMovEstoque!A:A,Tabela3[[#This Row],[Código]],BDMovEstoque!G:G,"Saída")</f>
        <v>0</v>
      </c>
      <c r="G218" t="str">
        <f>IF(Tabela3[[#This Row],[Saldo Estoque]]&lt;Tabela3[[#This Row],[Estoque Mínimo]],"Sim","")</f>
        <v/>
      </c>
      <c r="H218" s="33">
        <f>Tabela3[[#This Row],[Saldo Estoque]]*Tabela3[[#This Row],[Valor]]</f>
        <v>0</v>
      </c>
    </row>
    <row r="219" spans="1:8" x14ac:dyDescent="0.35">
      <c r="A219" s="1">
        <v>218</v>
      </c>
      <c r="F219" s="9">
        <f>SUMIFS(BDMovEstoque!C:C,BDMovEstoque!A:A,Tabela3[[#This Row],[Código]],BDMovEstoque!G:G,"Entrada")-SUMIFS(BDMovEstoque!C:C,BDMovEstoque!A:A,Tabela3[[#This Row],[Código]],BDMovEstoque!G:G,"Saída")</f>
        <v>0</v>
      </c>
      <c r="G219" t="str">
        <f>IF(Tabela3[[#This Row],[Saldo Estoque]]&lt;Tabela3[[#This Row],[Estoque Mínimo]],"Sim","")</f>
        <v/>
      </c>
      <c r="H219" s="33">
        <f>Tabela3[[#This Row],[Saldo Estoque]]*Tabela3[[#This Row],[Valor]]</f>
        <v>0</v>
      </c>
    </row>
    <row r="220" spans="1:8" x14ac:dyDescent="0.35">
      <c r="A220" s="1">
        <v>219</v>
      </c>
      <c r="F220" s="9">
        <f>SUMIFS(BDMovEstoque!C:C,BDMovEstoque!A:A,Tabela3[[#This Row],[Código]],BDMovEstoque!G:G,"Entrada")-SUMIFS(BDMovEstoque!C:C,BDMovEstoque!A:A,Tabela3[[#This Row],[Código]],BDMovEstoque!G:G,"Saída")</f>
        <v>0</v>
      </c>
      <c r="G220" t="str">
        <f>IF(Tabela3[[#This Row],[Saldo Estoque]]&lt;Tabela3[[#This Row],[Estoque Mínimo]],"Sim","")</f>
        <v/>
      </c>
      <c r="H220" s="33">
        <f>Tabela3[[#This Row],[Saldo Estoque]]*Tabela3[[#This Row],[Valor]]</f>
        <v>0</v>
      </c>
    </row>
    <row r="221" spans="1:8" x14ac:dyDescent="0.35">
      <c r="A221" s="1">
        <v>220</v>
      </c>
      <c r="F221" s="9">
        <f>SUMIFS(BDMovEstoque!C:C,BDMovEstoque!A:A,Tabela3[[#This Row],[Código]],BDMovEstoque!G:G,"Entrada")-SUMIFS(BDMovEstoque!C:C,BDMovEstoque!A:A,Tabela3[[#This Row],[Código]],BDMovEstoque!G:G,"Saída")</f>
        <v>0</v>
      </c>
      <c r="G221" t="str">
        <f>IF(Tabela3[[#This Row],[Saldo Estoque]]&lt;Tabela3[[#This Row],[Estoque Mínimo]],"Sim","")</f>
        <v/>
      </c>
      <c r="H221" s="33">
        <f>Tabela3[[#This Row],[Saldo Estoque]]*Tabela3[[#This Row],[Valor]]</f>
        <v>0</v>
      </c>
    </row>
    <row r="222" spans="1:8" x14ac:dyDescent="0.35">
      <c r="A222" s="1">
        <v>221</v>
      </c>
      <c r="F222" s="9">
        <f>SUMIFS(BDMovEstoque!C:C,BDMovEstoque!A:A,Tabela3[[#This Row],[Código]],BDMovEstoque!G:G,"Entrada")-SUMIFS(BDMovEstoque!C:C,BDMovEstoque!A:A,Tabela3[[#This Row],[Código]],BDMovEstoque!G:G,"Saída")</f>
        <v>0</v>
      </c>
      <c r="G222" t="str">
        <f>IF(Tabela3[[#This Row],[Saldo Estoque]]&lt;Tabela3[[#This Row],[Estoque Mínimo]],"Sim","")</f>
        <v/>
      </c>
      <c r="H222" s="33">
        <f>Tabela3[[#This Row],[Saldo Estoque]]*Tabela3[[#This Row],[Valor]]</f>
        <v>0</v>
      </c>
    </row>
    <row r="223" spans="1:8" x14ac:dyDescent="0.35">
      <c r="A223" s="1">
        <v>222</v>
      </c>
      <c r="F223" s="9">
        <f>SUMIFS(BDMovEstoque!C:C,BDMovEstoque!A:A,Tabela3[[#This Row],[Código]],BDMovEstoque!G:G,"Entrada")-SUMIFS(BDMovEstoque!C:C,BDMovEstoque!A:A,Tabela3[[#This Row],[Código]],BDMovEstoque!G:G,"Saída")</f>
        <v>0</v>
      </c>
      <c r="G223" t="str">
        <f>IF(Tabela3[[#This Row],[Saldo Estoque]]&lt;Tabela3[[#This Row],[Estoque Mínimo]],"Sim","")</f>
        <v/>
      </c>
      <c r="H223" s="33">
        <f>Tabela3[[#This Row],[Saldo Estoque]]*Tabela3[[#This Row],[Valor]]</f>
        <v>0</v>
      </c>
    </row>
    <row r="224" spans="1:8" x14ac:dyDescent="0.35">
      <c r="A224" s="1">
        <v>223</v>
      </c>
      <c r="F224" s="9">
        <f>SUMIFS(BDMovEstoque!C:C,BDMovEstoque!A:A,Tabela3[[#This Row],[Código]],BDMovEstoque!G:G,"Entrada")-SUMIFS(BDMovEstoque!C:C,BDMovEstoque!A:A,Tabela3[[#This Row],[Código]],BDMovEstoque!G:G,"Saída")</f>
        <v>0</v>
      </c>
      <c r="G224" t="str">
        <f>IF(Tabela3[[#This Row],[Saldo Estoque]]&lt;Tabela3[[#This Row],[Estoque Mínimo]],"Sim","")</f>
        <v/>
      </c>
      <c r="H224" s="33">
        <f>Tabela3[[#This Row],[Saldo Estoque]]*Tabela3[[#This Row],[Valor]]</f>
        <v>0</v>
      </c>
    </row>
    <row r="225" spans="1:8" x14ac:dyDescent="0.35">
      <c r="A225" s="1">
        <v>224</v>
      </c>
      <c r="F225" s="9">
        <f>SUMIFS(BDMovEstoque!C:C,BDMovEstoque!A:A,Tabela3[[#This Row],[Código]],BDMovEstoque!G:G,"Entrada")-SUMIFS(BDMovEstoque!C:C,BDMovEstoque!A:A,Tabela3[[#This Row],[Código]],BDMovEstoque!G:G,"Saída")</f>
        <v>0</v>
      </c>
      <c r="G225" t="str">
        <f>IF(Tabela3[[#This Row],[Saldo Estoque]]&lt;Tabela3[[#This Row],[Estoque Mínimo]],"Sim","")</f>
        <v/>
      </c>
      <c r="H225" s="33">
        <f>Tabela3[[#This Row],[Saldo Estoque]]*Tabela3[[#This Row],[Valor]]</f>
        <v>0</v>
      </c>
    </row>
    <row r="226" spans="1:8" x14ac:dyDescent="0.35">
      <c r="A226" s="1">
        <v>225</v>
      </c>
      <c r="F226" s="9">
        <f>SUMIFS(BDMovEstoque!C:C,BDMovEstoque!A:A,Tabela3[[#This Row],[Código]],BDMovEstoque!G:G,"Entrada")-SUMIFS(BDMovEstoque!C:C,BDMovEstoque!A:A,Tabela3[[#This Row],[Código]],BDMovEstoque!G:G,"Saída")</f>
        <v>0</v>
      </c>
      <c r="G226" t="str">
        <f>IF(Tabela3[[#This Row],[Saldo Estoque]]&lt;Tabela3[[#This Row],[Estoque Mínimo]],"Sim","")</f>
        <v/>
      </c>
      <c r="H226" s="33">
        <f>Tabela3[[#This Row],[Saldo Estoque]]*Tabela3[[#This Row],[Valor]]</f>
        <v>0</v>
      </c>
    </row>
    <row r="227" spans="1:8" x14ac:dyDescent="0.35">
      <c r="A227" s="1">
        <v>226</v>
      </c>
      <c r="F227" s="9">
        <f>SUMIFS(BDMovEstoque!C:C,BDMovEstoque!A:A,Tabela3[[#This Row],[Código]],BDMovEstoque!G:G,"Entrada")-SUMIFS(BDMovEstoque!C:C,BDMovEstoque!A:A,Tabela3[[#This Row],[Código]],BDMovEstoque!G:G,"Saída")</f>
        <v>0</v>
      </c>
      <c r="G227" t="str">
        <f>IF(Tabela3[[#This Row],[Saldo Estoque]]&lt;Tabela3[[#This Row],[Estoque Mínimo]],"Sim","")</f>
        <v/>
      </c>
      <c r="H227" s="33">
        <f>Tabela3[[#This Row],[Saldo Estoque]]*Tabela3[[#This Row],[Valor]]</f>
        <v>0</v>
      </c>
    </row>
    <row r="228" spans="1:8" x14ac:dyDescent="0.35">
      <c r="A228" s="1">
        <v>227</v>
      </c>
      <c r="F228" s="9">
        <f>SUMIFS(BDMovEstoque!C:C,BDMovEstoque!A:A,Tabela3[[#This Row],[Código]],BDMovEstoque!G:G,"Entrada")-SUMIFS(BDMovEstoque!C:C,BDMovEstoque!A:A,Tabela3[[#This Row],[Código]],BDMovEstoque!G:G,"Saída")</f>
        <v>0</v>
      </c>
      <c r="G228" t="str">
        <f>IF(Tabela3[[#This Row],[Saldo Estoque]]&lt;Tabela3[[#This Row],[Estoque Mínimo]],"Sim","")</f>
        <v/>
      </c>
      <c r="H228" s="33">
        <f>Tabela3[[#This Row],[Saldo Estoque]]*Tabela3[[#This Row],[Valor]]</f>
        <v>0</v>
      </c>
    </row>
    <row r="229" spans="1:8" x14ac:dyDescent="0.35">
      <c r="A229" s="1">
        <v>228</v>
      </c>
      <c r="F229" s="9">
        <f>SUMIFS(BDMovEstoque!C:C,BDMovEstoque!A:A,Tabela3[[#This Row],[Código]],BDMovEstoque!G:G,"Entrada")-SUMIFS(BDMovEstoque!C:C,BDMovEstoque!A:A,Tabela3[[#This Row],[Código]],BDMovEstoque!G:G,"Saída")</f>
        <v>0</v>
      </c>
      <c r="G229" t="str">
        <f>IF(Tabela3[[#This Row],[Saldo Estoque]]&lt;Tabela3[[#This Row],[Estoque Mínimo]],"Sim","")</f>
        <v/>
      </c>
      <c r="H229" s="33">
        <f>Tabela3[[#This Row],[Saldo Estoque]]*Tabela3[[#This Row],[Valor]]</f>
        <v>0</v>
      </c>
    </row>
    <row r="230" spans="1:8" x14ac:dyDescent="0.35">
      <c r="A230" s="1">
        <v>229</v>
      </c>
      <c r="F230" s="9">
        <f>SUMIFS(BDMovEstoque!C:C,BDMovEstoque!A:A,Tabela3[[#This Row],[Código]],BDMovEstoque!G:G,"Entrada")-SUMIFS(BDMovEstoque!C:C,BDMovEstoque!A:A,Tabela3[[#This Row],[Código]],BDMovEstoque!G:G,"Saída")</f>
        <v>0</v>
      </c>
      <c r="G230" t="str">
        <f>IF(Tabela3[[#This Row],[Saldo Estoque]]&lt;Tabela3[[#This Row],[Estoque Mínimo]],"Sim","")</f>
        <v/>
      </c>
      <c r="H230" s="33">
        <f>Tabela3[[#This Row],[Saldo Estoque]]*Tabela3[[#This Row],[Valor]]</f>
        <v>0</v>
      </c>
    </row>
    <row r="231" spans="1:8" x14ac:dyDescent="0.35">
      <c r="A231" s="1">
        <v>230</v>
      </c>
      <c r="F231" s="9">
        <f>SUMIFS(BDMovEstoque!C:C,BDMovEstoque!A:A,Tabela3[[#This Row],[Código]],BDMovEstoque!G:G,"Entrada")-SUMIFS(BDMovEstoque!C:C,BDMovEstoque!A:A,Tabela3[[#This Row],[Código]],BDMovEstoque!G:G,"Saída")</f>
        <v>0</v>
      </c>
      <c r="G231" t="str">
        <f>IF(Tabela3[[#This Row],[Saldo Estoque]]&lt;Tabela3[[#This Row],[Estoque Mínimo]],"Sim","")</f>
        <v/>
      </c>
      <c r="H231" s="33">
        <f>Tabela3[[#This Row],[Saldo Estoque]]*Tabela3[[#This Row],[Valor]]</f>
        <v>0</v>
      </c>
    </row>
    <row r="232" spans="1:8" x14ac:dyDescent="0.35">
      <c r="A232" s="1">
        <v>231</v>
      </c>
      <c r="F232" s="9">
        <f>SUMIFS(BDMovEstoque!C:C,BDMovEstoque!A:A,Tabela3[[#This Row],[Código]],BDMovEstoque!G:G,"Entrada")-SUMIFS(BDMovEstoque!C:C,BDMovEstoque!A:A,Tabela3[[#This Row],[Código]],BDMovEstoque!G:G,"Saída")</f>
        <v>0</v>
      </c>
      <c r="G232" t="str">
        <f>IF(Tabela3[[#This Row],[Saldo Estoque]]&lt;Tabela3[[#This Row],[Estoque Mínimo]],"Sim","")</f>
        <v/>
      </c>
      <c r="H232" s="33">
        <f>Tabela3[[#This Row],[Saldo Estoque]]*Tabela3[[#This Row],[Valor]]</f>
        <v>0</v>
      </c>
    </row>
    <row r="233" spans="1:8" x14ac:dyDescent="0.35">
      <c r="A233" s="1">
        <v>232</v>
      </c>
      <c r="F233" s="9">
        <f>SUMIFS(BDMovEstoque!C:C,BDMovEstoque!A:A,Tabela3[[#This Row],[Código]],BDMovEstoque!G:G,"Entrada")-SUMIFS(BDMovEstoque!C:C,BDMovEstoque!A:A,Tabela3[[#This Row],[Código]],BDMovEstoque!G:G,"Saída")</f>
        <v>0</v>
      </c>
      <c r="G233" t="str">
        <f>IF(Tabela3[[#This Row],[Saldo Estoque]]&lt;Tabela3[[#This Row],[Estoque Mínimo]],"Sim","")</f>
        <v/>
      </c>
      <c r="H233" s="33">
        <f>Tabela3[[#This Row],[Saldo Estoque]]*Tabela3[[#This Row],[Valor]]</f>
        <v>0</v>
      </c>
    </row>
    <row r="234" spans="1:8" x14ac:dyDescent="0.35">
      <c r="A234" s="1">
        <v>233</v>
      </c>
      <c r="F234" s="9">
        <f>SUMIFS(BDMovEstoque!C:C,BDMovEstoque!A:A,Tabela3[[#This Row],[Código]],BDMovEstoque!G:G,"Entrada")-SUMIFS(BDMovEstoque!C:C,BDMovEstoque!A:A,Tabela3[[#This Row],[Código]],BDMovEstoque!G:G,"Saída")</f>
        <v>0</v>
      </c>
      <c r="G234" t="str">
        <f>IF(Tabela3[[#This Row],[Saldo Estoque]]&lt;Tabela3[[#This Row],[Estoque Mínimo]],"Sim","")</f>
        <v/>
      </c>
      <c r="H234" s="33">
        <f>Tabela3[[#This Row],[Saldo Estoque]]*Tabela3[[#This Row],[Valor]]</f>
        <v>0</v>
      </c>
    </row>
    <row r="235" spans="1:8" x14ac:dyDescent="0.35">
      <c r="A235" s="1">
        <v>234</v>
      </c>
      <c r="F235" s="9">
        <f>SUMIFS(BDMovEstoque!C:C,BDMovEstoque!A:A,Tabela3[[#This Row],[Código]],BDMovEstoque!G:G,"Entrada")-SUMIFS(BDMovEstoque!C:C,BDMovEstoque!A:A,Tabela3[[#This Row],[Código]],BDMovEstoque!G:G,"Saída")</f>
        <v>0</v>
      </c>
      <c r="G235" t="str">
        <f>IF(Tabela3[[#This Row],[Saldo Estoque]]&lt;Tabela3[[#This Row],[Estoque Mínimo]],"Sim","")</f>
        <v/>
      </c>
      <c r="H235" s="33">
        <f>Tabela3[[#This Row],[Saldo Estoque]]*Tabela3[[#This Row],[Valor]]</f>
        <v>0</v>
      </c>
    </row>
    <row r="236" spans="1:8" x14ac:dyDescent="0.35">
      <c r="A236" s="1">
        <v>235</v>
      </c>
      <c r="F236" s="9">
        <f>SUMIFS(BDMovEstoque!C:C,BDMovEstoque!A:A,Tabela3[[#This Row],[Código]],BDMovEstoque!G:G,"Entrada")-SUMIFS(BDMovEstoque!C:C,BDMovEstoque!A:A,Tabela3[[#This Row],[Código]],BDMovEstoque!G:G,"Saída")</f>
        <v>0</v>
      </c>
      <c r="G236" t="str">
        <f>IF(Tabela3[[#This Row],[Saldo Estoque]]&lt;Tabela3[[#This Row],[Estoque Mínimo]],"Sim","")</f>
        <v/>
      </c>
      <c r="H236" s="33">
        <f>Tabela3[[#This Row],[Saldo Estoque]]*Tabela3[[#This Row],[Valor]]</f>
        <v>0</v>
      </c>
    </row>
    <row r="237" spans="1:8" x14ac:dyDescent="0.35">
      <c r="A237" s="1">
        <v>236</v>
      </c>
      <c r="F237" s="9">
        <f>SUMIFS(BDMovEstoque!C:C,BDMovEstoque!A:A,Tabela3[[#This Row],[Código]],BDMovEstoque!G:G,"Entrada")-SUMIFS(BDMovEstoque!C:C,BDMovEstoque!A:A,Tabela3[[#This Row],[Código]],BDMovEstoque!G:G,"Saída")</f>
        <v>0</v>
      </c>
      <c r="G237" t="str">
        <f>IF(Tabela3[[#This Row],[Saldo Estoque]]&lt;Tabela3[[#This Row],[Estoque Mínimo]],"Sim","")</f>
        <v/>
      </c>
      <c r="H237" s="33">
        <f>Tabela3[[#This Row],[Saldo Estoque]]*Tabela3[[#This Row],[Valor]]</f>
        <v>0</v>
      </c>
    </row>
    <row r="238" spans="1:8" x14ac:dyDescent="0.35">
      <c r="A238" s="1">
        <v>237</v>
      </c>
      <c r="F238" s="9">
        <f>SUMIFS(BDMovEstoque!C:C,BDMovEstoque!A:A,Tabela3[[#This Row],[Código]],BDMovEstoque!G:G,"Entrada")-SUMIFS(BDMovEstoque!C:C,BDMovEstoque!A:A,Tabela3[[#This Row],[Código]],BDMovEstoque!G:G,"Saída")</f>
        <v>0</v>
      </c>
      <c r="G238" t="str">
        <f>IF(Tabela3[[#This Row],[Saldo Estoque]]&lt;Tabela3[[#This Row],[Estoque Mínimo]],"Sim","")</f>
        <v/>
      </c>
      <c r="H238" s="33">
        <f>Tabela3[[#This Row],[Saldo Estoque]]*Tabela3[[#This Row],[Valor]]</f>
        <v>0</v>
      </c>
    </row>
    <row r="239" spans="1:8" x14ac:dyDescent="0.35">
      <c r="A239" s="1">
        <v>238</v>
      </c>
      <c r="F239" s="9">
        <f>SUMIFS(BDMovEstoque!C:C,BDMovEstoque!A:A,Tabela3[[#This Row],[Código]],BDMovEstoque!G:G,"Entrada")-SUMIFS(BDMovEstoque!C:C,BDMovEstoque!A:A,Tabela3[[#This Row],[Código]],BDMovEstoque!G:G,"Saída")</f>
        <v>0</v>
      </c>
      <c r="G239" t="str">
        <f>IF(Tabela3[[#This Row],[Saldo Estoque]]&lt;Tabela3[[#This Row],[Estoque Mínimo]],"Sim","")</f>
        <v/>
      </c>
      <c r="H239" s="33">
        <f>Tabela3[[#This Row],[Saldo Estoque]]*Tabela3[[#This Row],[Valor]]</f>
        <v>0</v>
      </c>
    </row>
    <row r="240" spans="1:8" x14ac:dyDescent="0.35">
      <c r="A240" s="1">
        <v>239</v>
      </c>
      <c r="F240" s="9">
        <f>SUMIFS(BDMovEstoque!C:C,BDMovEstoque!A:A,Tabela3[[#This Row],[Código]],BDMovEstoque!G:G,"Entrada")-SUMIFS(BDMovEstoque!C:C,BDMovEstoque!A:A,Tabela3[[#This Row],[Código]],BDMovEstoque!G:G,"Saída")</f>
        <v>0</v>
      </c>
      <c r="G240" t="str">
        <f>IF(Tabela3[[#This Row],[Saldo Estoque]]&lt;Tabela3[[#This Row],[Estoque Mínimo]],"Sim","")</f>
        <v/>
      </c>
      <c r="H240" s="33">
        <f>Tabela3[[#This Row],[Saldo Estoque]]*Tabela3[[#This Row],[Valor]]</f>
        <v>0</v>
      </c>
    </row>
    <row r="241" spans="1:8" x14ac:dyDescent="0.35">
      <c r="A241" s="1">
        <v>240</v>
      </c>
      <c r="F241" s="9">
        <f>SUMIFS(BDMovEstoque!C:C,BDMovEstoque!A:A,Tabela3[[#This Row],[Código]],BDMovEstoque!G:G,"Entrada")-SUMIFS(BDMovEstoque!C:C,BDMovEstoque!A:A,Tabela3[[#This Row],[Código]],BDMovEstoque!G:G,"Saída")</f>
        <v>0</v>
      </c>
      <c r="G241" t="str">
        <f>IF(Tabela3[[#This Row],[Saldo Estoque]]&lt;Tabela3[[#This Row],[Estoque Mínimo]],"Sim","")</f>
        <v/>
      </c>
      <c r="H241" s="33">
        <f>Tabela3[[#This Row],[Saldo Estoque]]*Tabela3[[#This Row],[Valor]]</f>
        <v>0</v>
      </c>
    </row>
    <row r="242" spans="1:8" x14ac:dyDescent="0.35">
      <c r="A242" s="1">
        <v>241</v>
      </c>
      <c r="F242" s="9">
        <f>SUMIFS(BDMovEstoque!C:C,BDMovEstoque!A:A,Tabela3[[#This Row],[Código]],BDMovEstoque!G:G,"Entrada")-SUMIFS(BDMovEstoque!C:C,BDMovEstoque!A:A,Tabela3[[#This Row],[Código]],BDMovEstoque!G:G,"Saída")</f>
        <v>0</v>
      </c>
      <c r="G242" t="str">
        <f>IF(Tabela3[[#This Row],[Saldo Estoque]]&lt;Tabela3[[#This Row],[Estoque Mínimo]],"Sim","")</f>
        <v/>
      </c>
      <c r="H242" s="33">
        <f>Tabela3[[#This Row],[Saldo Estoque]]*Tabela3[[#This Row],[Valor]]</f>
        <v>0</v>
      </c>
    </row>
    <row r="243" spans="1:8" x14ac:dyDescent="0.35">
      <c r="A243" s="1">
        <v>242</v>
      </c>
      <c r="F243" s="9">
        <f>SUMIFS(BDMovEstoque!C:C,BDMovEstoque!A:A,Tabela3[[#This Row],[Código]],BDMovEstoque!G:G,"Entrada")-SUMIFS(BDMovEstoque!C:C,BDMovEstoque!A:A,Tabela3[[#This Row],[Código]],BDMovEstoque!G:G,"Saída")</f>
        <v>0</v>
      </c>
      <c r="G243" t="str">
        <f>IF(Tabela3[[#This Row],[Saldo Estoque]]&lt;Tabela3[[#This Row],[Estoque Mínimo]],"Sim","")</f>
        <v/>
      </c>
      <c r="H243" s="33">
        <f>Tabela3[[#This Row],[Saldo Estoque]]*Tabela3[[#This Row],[Valor]]</f>
        <v>0</v>
      </c>
    </row>
    <row r="244" spans="1:8" x14ac:dyDescent="0.35">
      <c r="A244" s="1">
        <v>243</v>
      </c>
      <c r="F244" s="9">
        <f>SUMIFS(BDMovEstoque!C:C,BDMovEstoque!A:A,Tabela3[[#This Row],[Código]],BDMovEstoque!G:G,"Entrada")-SUMIFS(BDMovEstoque!C:C,BDMovEstoque!A:A,Tabela3[[#This Row],[Código]],BDMovEstoque!G:G,"Saída")</f>
        <v>0</v>
      </c>
      <c r="G244" t="str">
        <f>IF(Tabela3[[#This Row],[Saldo Estoque]]&lt;Tabela3[[#This Row],[Estoque Mínimo]],"Sim","")</f>
        <v/>
      </c>
      <c r="H244" s="33">
        <f>Tabela3[[#This Row],[Saldo Estoque]]*Tabela3[[#This Row],[Valor]]</f>
        <v>0</v>
      </c>
    </row>
    <row r="245" spans="1:8" x14ac:dyDescent="0.35">
      <c r="A245" s="1">
        <v>244</v>
      </c>
      <c r="F245" s="9">
        <f>SUMIFS(BDMovEstoque!C:C,BDMovEstoque!A:A,Tabela3[[#This Row],[Código]],BDMovEstoque!G:G,"Entrada")-SUMIFS(BDMovEstoque!C:C,BDMovEstoque!A:A,Tabela3[[#This Row],[Código]],BDMovEstoque!G:G,"Saída")</f>
        <v>0</v>
      </c>
      <c r="G245" t="str">
        <f>IF(Tabela3[[#This Row],[Saldo Estoque]]&lt;Tabela3[[#This Row],[Estoque Mínimo]],"Sim","")</f>
        <v/>
      </c>
      <c r="H245" s="33">
        <f>Tabela3[[#This Row],[Saldo Estoque]]*Tabela3[[#This Row],[Valor]]</f>
        <v>0</v>
      </c>
    </row>
    <row r="246" spans="1:8" x14ac:dyDescent="0.35">
      <c r="A246" s="1">
        <v>245</v>
      </c>
      <c r="F246" s="9">
        <f>SUMIFS(BDMovEstoque!C:C,BDMovEstoque!A:A,Tabela3[[#This Row],[Código]],BDMovEstoque!G:G,"Entrada")-SUMIFS(BDMovEstoque!C:C,BDMovEstoque!A:A,Tabela3[[#This Row],[Código]],BDMovEstoque!G:G,"Saída")</f>
        <v>0</v>
      </c>
      <c r="G246" t="str">
        <f>IF(Tabela3[[#This Row],[Saldo Estoque]]&lt;Tabela3[[#This Row],[Estoque Mínimo]],"Sim","")</f>
        <v/>
      </c>
      <c r="H246" s="33">
        <f>Tabela3[[#This Row],[Saldo Estoque]]*Tabela3[[#This Row],[Valor]]</f>
        <v>0</v>
      </c>
    </row>
    <row r="247" spans="1:8" x14ac:dyDescent="0.35">
      <c r="A247" s="1">
        <v>246</v>
      </c>
      <c r="F247" s="9">
        <f>SUMIFS(BDMovEstoque!C:C,BDMovEstoque!A:A,Tabela3[[#This Row],[Código]],BDMovEstoque!G:G,"Entrada")-SUMIFS(BDMovEstoque!C:C,BDMovEstoque!A:A,Tabela3[[#This Row],[Código]],BDMovEstoque!G:G,"Saída")</f>
        <v>0</v>
      </c>
      <c r="G247" t="str">
        <f>IF(Tabela3[[#This Row],[Saldo Estoque]]&lt;Tabela3[[#This Row],[Estoque Mínimo]],"Sim","")</f>
        <v/>
      </c>
      <c r="H247" s="33">
        <f>Tabela3[[#This Row],[Saldo Estoque]]*Tabela3[[#This Row],[Valor]]</f>
        <v>0</v>
      </c>
    </row>
    <row r="248" spans="1:8" x14ac:dyDescent="0.35">
      <c r="A248" s="1">
        <v>247</v>
      </c>
      <c r="F248" s="9">
        <f>SUMIFS(BDMovEstoque!C:C,BDMovEstoque!A:A,Tabela3[[#This Row],[Código]],BDMovEstoque!G:G,"Entrada")-SUMIFS(BDMovEstoque!C:C,BDMovEstoque!A:A,Tabela3[[#This Row],[Código]],BDMovEstoque!G:G,"Saída")</f>
        <v>0</v>
      </c>
      <c r="G248" t="str">
        <f>IF(Tabela3[[#This Row],[Saldo Estoque]]&lt;Tabela3[[#This Row],[Estoque Mínimo]],"Sim","")</f>
        <v/>
      </c>
      <c r="H248" s="33">
        <f>Tabela3[[#This Row],[Saldo Estoque]]*Tabela3[[#This Row],[Valor]]</f>
        <v>0</v>
      </c>
    </row>
    <row r="249" spans="1:8" x14ac:dyDescent="0.35">
      <c r="A249" s="1">
        <v>248</v>
      </c>
      <c r="F249" s="9">
        <f>SUMIFS(BDMovEstoque!C:C,BDMovEstoque!A:A,Tabela3[[#This Row],[Código]],BDMovEstoque!G:G,"Entrada")-SUMIFS(BDMovEstoque!C:C,BDMovEstoque!A:A,Tabela3[[#This Row],[Código]],BDMovEstoque!G:G,"Saída")</f>
        <v>0</v>
      </c>
      <c r="G249" t="str">
        <f>IF(Tabela3[[#This Row],[Saldo Estoque]]&lt;Tabela3[[#This Row],[Estoque Mínimo]],"Sim","")</f>
        <v/>
      </c>
      <c r="H249" s="33">
        <f>Tabela3[[#This Row],[Saldo Estoque]]*Tabela3[[#This Row],[Valor]]</f>
        <v>0</v>
      </c>
    </row>
    <row r="250" spans="1:8" x14ac:dyDescent="0.35">
      <c r="A250" s="1">
        <v>249</v>
      </c>
      <c r="F250" s="9">
        <f>SUMIFS(BDMovEstoque!C:C,BDMovEstoque!A:A,Tabela3[[#This Row],[Código]],BDMovEstoque!G:G,"Entrada")-SUMIFS(BDMovEstoque!C:C,BDMovEstoque!A:A,Tabela3[[#This Row],[Código]],BDMovEstoque!G:G,"Saída")</f>
        <v>0</v>
      </c>
      <c r="G250" t="str">
        <f>IF(Tabela3[[#This Row],[Saldo Estoque]]&lt;Tabela3[[#This Row],[Estoque Mínimo]],"Sim","")</f>
        <v/>
      </c>
      <c r="H250" s="33">
        <f>Tabela3[[#This Row],[Saldo Estoque]]*Tabela3[[#This Row],[Valor]]</f>
        <v>0</v>
      </c>
    </row>
    <row r="251" spans="1:8" x14ac:dyDescent="0.35">
      <c r="A251" s="1">
        <v>250</v>
      </c>
      <c r="F251" s="9">
        <f>SUMIFS(BDMovEstoque!C:C,BDMovEstoque!A:A,Tabela3[[#This Row],[Código]],BDMovEstoque!G:G,"Entrada")-SUMIFS(BDMovEstoque!C:C,BDMovEstoque!A:A,Tabela3[[#This Row],[Código]],BDMovEstoque!G:G,"Saída")</f>
        <v>0</v>
      </c>
      <c r="G251" t="str">
        <f>IF(Tabela3[[#This Row],[Saldo Estoque]]&lt;Tabela3[[#This Row],[Estoque Mínimo]],"Sim","")</f>
        <v/>
      </c>
      <c r="H251" s="33">
        <f>Tabela3[[#This Row],[Saldo Estoque]]*Tabela3[[#This Row],[Valor]]</f>
        <v>0</v>
      </c>
    </row>
    <row r="252" spans="1:8" x14ac:dyDescent="0.35">
      <c r="A252" s="1">
        <v>251</v>
      </c>
      <c r="F252" s="9">
        <f>SUMIFS(BDMovEstoque!C:C,BDMovEstoque!A:A,Tabela3[[#This Row],[Código]],BDMovEstoque!G:G,"Entrada")-SUMIFS(BDMovEstoque!C:C,BDMovEstoque!A:A,Tabela3[[#This Row],[Código]],BDMovEstoque!G:G,"Saída")</f>
        <v>0</v>
      </c>
      <c r="G252" t="str">
        <f>IF(Tabela3[[#This Row],[Saldo Estoque]]&lt;Tabela3[[#This Row],[Estoque Mínimo]],"Sim","")</f>
        <v/>
      </c>
      <c r="H252" s="33">
        <f>Tabela3[[#This Row],[Saldo Estoque]]*Tabela3[[#This Row],[Valor]]</f>
        <v>0</v>
      </c>
    </row>
    <row r="253" spans="1:8" x14ac:dyDescent="0.35">
      <c r="A253" s="1">
        <v>252</v>
      </c>
      <c r="F253" s="9">
        <f>SUMIFS(BDMovEstoque!C:C,BDMovEstoque!A:A,Tabela3[[#This Row],[Código]],BDMovEstoque!G:G,"Entrada")-SUMIFS(BDMovEstoque!C:C,BDMovEstoque!A:A,Tabela3[[#This Row],[Código]],BDMovEstoque!G:G,"Saída")</f>
        <v>0</v>
      </c>
      <c r="G253" t="str">
        <f>IF(Tabela3[[#This Row],[Saldo Estoque]]&lt;Tabela3[[#This Row],[Estoque Mínimo]],"Sim","")</f>
        <v/>
      </c>
      <c r="H253" s="33">
        <f>Tabela3[[#This Row],[Saldo Estoque]]*Tabela3[[#This Row],[Valor]]</f>
        <v>0</v>
      </c>
    </row>
    <row r="254" spans="1:8" x14ac:dyDescent="0.35">
      <c r="A254" s="1">
        <v>253</v>
      </c>
      <c r="F254" s="9">
        <f>SUMIFS(BDMovEstoque!C:C,BDMovEstoque!A:A,Tabela3[[#This Row],[Código]],BDMovEstoque!G:G,"Entrada")-SUMIFS(BDMovEstoque!C:C,BDMovEstoque!A:A,Tabela3[[#This Row],[Código]],BDMovEstoque!G:G,"Saída")</f>
        <v>0</v>
      </c>
      <c r="G254" t="str">
        <f>IF(Tabela3[[#This Row],[Saldo Estoque]]&lt;Tabela3[[#This Row],[Estoque Mínimo]],"Sim","")</f>
        <v/>
      </c>
      <c r="H254" s="33">
        <f>Tabela3[[#This Row],[Saldo Estoque]]*Tabela3[[#This Row],[Valor]]</f>
        <v>0</v>
      </c>
    </row>
    <row r="255" spans="1:8" x14ac:dyDescent="0.35">
      <c r="A255" s="1">
        <v>254</v>
      </c>
      <c r="F255" s="9">
        <f>SUMIFS(BDMovEstoque!C:C,BDMovEstoque!A:A,Tabela3[[#This Row],[Código]],BDMovEstoque!G:G,"Entrada")-SUMIFS(BDMovEstoque!C:C,BDMovEstoque!A:A,Tabela3[[#This Row],[Código]],BDMovEstoque!G:G,"Saída")</f>
        <v>0</v>
      </c>
      <c r="G255" t="str">
        <f>IF(Tabela3[[#This Row],[Saldo Estoque]]&lt;Tabela3[[#This Row],[Estoque Mínimo]],"Sim","")</f>
        <v/>
      </c>
      <c r="H255" s="33">
        <f>Tabela3[[#This Row],[Saldo Estoque]]*Tabela3[[#This Row],[Valor]]</f>
        <v>0</v>
      </c>
    </row>
    <row r="256" spans="1:8" x14ac:dyDescent="0.35">
      <c r="A256" s="1">
        <v>255</v>
      </c>
      <c r="F256" s="9">
        <f>SUMIFS(BDMovEstoque!C:C,BDMovEstoque!A:A,Tabela3[[#This Row],[Código]],BDMovEstoque!G:G,"Entrada")-SUMIFS(BDMovEstoque!C:C,BDMovEstoque!A:A,Tabela3[[#This Row],[Código]],BDMovEstoque!G:G,"Saída")</f>
        <v>0</v>
      </c>
      <c r="G256" t="str">
        <f>IF(Tabela3[[#This Row],[Saldo Estoque]]&lt;Tabela3[[#This Row],[Estoque Mínimo]],"Sim","")</f>
        <v/>
      </c>
      <c r="H256" s="33">
        <f>Tabela3[[#This Row],[Saldo Estoque]]*Tabela3[[#This Row],[Valor]]</f>
        <v>0</v>
      </c>
    </row>
    <row r="257" spans="1:8" x14ac:dyDescent="0.35">
      <c r="A257" s="1">
        <v>256</v>
      </c>
      <c r="F257" s="9">
        <f>SUMIFS(BDMovEstoque!C:C,BDMovEstoque!A:A,Tabela3[[#This Row],[Código]],BDMovEstoque!G:G,"Entrada")-SUMIFS(BDMovEstoque!C:C,BDMovEstoque!A:A,Tabela3[[#This Row],[Código]],BDMovEstoque!G:G,"Saída")</f>
        <v>0</v>
      </c>
      <c r="G257" t="str">
        <f>IF(Tabela3[[#This Row],[Saldo Estoque]]&lt;Tabela3[[#This Row],[Estoque Mínimo]],"Sim","")</f>
        <v/>
      </c>
      <c r="H257" s="33">
        <f>Tabela3[[#This Row],[Saldo Estoque]]*Tabela3[[#This Row],[Valor]]</f>
        <v>0</v>
      </c>
    </row>
    <row r="258" spans="1:8" x14ac:dyDescent="0.35">
      <c r="A258" s="1">
        <v>257</v>
      </c>
      <c r="F258" s="9">
        <f>SUMIFS(BDMovEstoque!C:C,BDMovEstoque!A:A,Tabela3[[#This Row],[Código]],BDMovEstoque!G:G,"Entrada")-SUMIFS(BDMovEstoque!C:C,BDMovEstoque!A:A,Tabela3[[#This Row],[Código]],BDMovEstoque!G:G,"Saída")</f>
        <v>0</v>
      </c>
      <c r="G258" t="str">
        <f>IF(Tabela3[[#This Row],[Saldo Estoque]]&lt;Tabela3[[#This Row],[Estoque Mínimo]],"Sim","")</f>
        <v/>
      </c>
      <c r="H258" s="33">
        <f>Tabela3[[#This Row],[Saldo Estoque]]*Tabela3[[#This Row],[Valor]]</f>
        <v>0</v>
      </c>
    </row>
    <row r="259" spans="1:8" x14ac:dyDescent="0.35">
      <c r="A259" s="1">
        <v>258</v>
      </c>
      <c r="F259" s="9">
        <f>SUMIFS(BDMovEstoque!C:C,BDMovEstoque!A:A,Tabela3[[#This Row],[Código]],BDMovEstoque!G:G,"Entrada")-SUMIFS(BDMovEstoque!C:C,BDMovEstoque!A:A,Tabela3[[#This Row],[Código]],BDMovEstoque!G:G,"Saída")</f>
        <v>0</v>
      </c>
      <c r="G259" t="str">
        <f>IF(Tabela3[[#This Row],[Saldo Estoque]]&lt;Tabela3[[#This Row],[Estoque Mínimo]],"Sim","")</f>
        <v/>
      </c>
      <c r="H259" s="33">
        <f>Tabela3[[#This Row],[Saldo Estoque]]*Tabela3[[#This Row],[Valor]]</f>
        <v>0</v>
      </c>
    </row>
    <row r="260" spans="1:8" x14ac:dyDescent="0.35">
      <c r="A260" s="1">
        <v>259</v>
      </c>
      <c r="F260" s="9">
        <f>SUMIFS(BDMovEstoque!C:C,BDMovEstoque!A:A,Tabela3[[#This Row],[Código]],BDMovEstoque!G:G,"Entrada")-SUMIFS(BDMovEstoque!C:C,BDMovEstoque!A:A,Tabela3[[#This Row],[Código]],BDMovEstoque!G:G,"Saída")</f>
        <v>0</v>
      </c>
      <c r="G260" t="str">
        <f>IF(Tabela3[[#This Row],[Saldo Estoque]]&lt;Tabela3[[#This Row],[Estoque Mínimo]],"Sim","")</f>
        <v/>
      </c>
      <c r="H260" s="33">
        <f>Tabela3[[#This Row],[Saldo Estoque]]*Tabela3[[#This Row],[Valor]]</f>
        <v>0</v>
      </c>
    </row>
    <row r="261" spans="1:8" x14ac:dyDescent="0.35">
      <c r="A261" s="1">
        <v>260</v>
      </c>
      <c r="F261" s="9">
        <f>SUMIFS(BDMovEstoque!C:C,BDMovEstoque!A:A,Tabela3[[#This Row],[Código]],BDMovEstoque!G:G,"Entrada")-SUMIFS(BDMovEstoque!C:C,BDMovEstoque!A:A,Tabela3[[#This Row],[Código]],BDMovEstoque!G:G,"Saída")</f>
        <v>0</v>
      </c>
      <c r="G261" t="str">
        <f>IF(Tabela3[[#This Row],[Saldo Estoque]]&lt;Tabela3[[#This Row],[Estoque Mínimo]],"Sim","")</f>
        <v/>
      </c>
      <c r="H261" s="33">
        <f>Tabela3[[#This Row],[Saldo Estoque]]*Tabela3[[#This Row],[Valor]]</f>
        <v>0</v>
      </c>
    </row>
    <row r="262" spans="1:8" x14ac:dyDescent="0.35">
      <c r="A262" s="1">
        <v>261</v>
      </c>
      <c r="F262" s="9">
        <f>SUMIFS(BDMovEstoque!C:C,BDMovEstoque!A:A,Tabela3[[#This Row],[Código]],BDMovEstoque!G:G,"Entrada")-SUMIFS(BDMovEstoque!C:C,BDMovEstoque!A:A,Tabela3[[#This Row],[Código]],BDMovEstoque!G:G,"Saída")</f>
        <v>0</v>
      </c>
      <c r="G262" t="str">
        <f>IF(Tabela3[[#This Row],[Saldo Estoque]]&lt;Tabela3[[#This Row],[Estoque Mínimo]],"Sim","")</f>
        <v/>
      </c>
      <c r="H262" s="33">
        <f>Tabela3[[#This Row],[Saldo Estoque]]*Tabela3[[#This Row],[Valor]]</f>
        <v>0</v>
      </c>
    </row>
    <row r="263" spans="1:8" x14ac:dyDescent="0.35">
      <c r="A263" s="1">
        <v>262</v>
      </c>
      <c r="F263" s="9">
        <f>SUMIFS(BDMovEstoque!C:C,BDMovEstoque!A:A,Tabela3[[#This Row],[Código]],BDMovEstoque!G:G,"Entrada")-SUMIFS(BDMovEstoque!C:C,BDMovEstoque!A:A,Tabela3[[#This Row],[Código]],BDMovEstoque!G:G,"Saída")</f>
        <v>0</v>
      </c>
      <c r="G263" t="str">
        <f>IF(Tabela3[[#This Row],[Saldo Estoque]]&lt;Tabela3[[#This Row],[Estoque Mínimo]],"Sim","")</f>
        <v/>
      </c>
      <c r="H263" s="33">
        <f>Tabela3[[#This Row],[Saldo Estoque]]*Tabela3[[#This Row],[Valor]]</f>
        <v>0</v>
      </c>
    </row>
    <row r="264" spans="1:8" x14ac:dyDescent="0.35">
      <c r="A264" s="1">
        <v>263</v>
      </c>
      <c r="F264" s="9">
        <f>SUMIFS(BDMovEstoque!C:C,BDMovEstoque!A:A,Tabela3[[#This Row],[Código]],BDMovEstoque!G:G,"Entrada")-SUMIFS(BDMovEstoque!C:C,BDMovEstoque!A:A,Tabela3[[#This Row],[Código]],BDMovEstoque!G:G,"Saída")</f>
        <v>0</v>
      </c>
      <c r="G264" t="str">
        <f>IF(Tabela3[[#This Row],[Saldo Estoque]]&lt;Tabela3[[#This Row],[Estoque Mínimo]],"Sim","")</f>
        <v/>
      </c>
      <c r="H264" s="33">
        <f>Tabela3[[#This Row],[Saldo Estoque]]*Tabela3[[#This Row],[Valor]]</f>
        <v>0</v>
      </c>
    </row>
    <row r="265" spans="1:8" x14ac:dyDescent="0.35">
      <c r="A265" s="1">
        <v>264</v>
      </c>
      <c r="F265" s="9">
        <f>SUMIFS(BDMovEstoque!C:C,BDMovEstoque!A:A,Tabela3[[#This Row],[Código]],BDMovEstoque!G:G,"Entrada")-SUMIFS(BDMovEstoque!C:C,BDMovEstoque!A:A,Tabela3[[#This Row],[Código]],BDMovEstoque!G:G,"Saída")</f>
        <v>0</v>
      </c>
      <c r="G265" t="str">
        <f>IF(Tabela3[[#This Row],[Saldo Estoque]]&lt;Tabela3[[#This Row],[Estoque Mínimo]],"Sim","")</f>
        <v/>
      </c>
      <c r="H265" s="33">
        <f>Tabela3[[#This Row],[Saldo Estoque]]*Tabela3[[#This Row],[Valor]]</f>
        <v>0</v>
      </c>
    </row>
    <row r="266" spans="1:8" x14ac:dyDescent="0.35">
      <c r="A266" s="1">
        <v>265</v>
      </c>
      <c r="F266" s="9">
        <f>SUMIFS(BDMovEstoque!C:C,BDMovEstoque!A:A,Tabela3[[#This Row],[Código]],BDMovEstoque!G:G,"Entrada")-SUMIFS(BDMovEstoque!C:C,BDMovEstoque!A:A,Tabela3[[#This Row],[Código]],BDMovEstoque!G:G,"Saída")</f>
        <v>0</v>
      </c>
      <c r="G266" t="str">
        <f>IF(Tabela3[[#This Row],[Saldo Estoque]]&lt;Tabela3[[#This Row],[Estoque Mínimo]],"Sim","")</f>
        <v/>
      </c>
      <c r="H266" s="33">
        <f>Tabela3[[#This Row],[Saldo Estoque]]*Tabela3[[#This Row],[Valor]]</f>
        <v>0</v>
      </c>
    </row>
    <row r="267" spans="1:8" x14ac:dyDescent="0.35">
      <c r="A267" s="1">
        <v>266</v>
      </c>
      <c r="F267" s="9">
        <f>SUMIFS(BDMovEstoque!C:C,BDMovEstoque!A:A,Tabela3[[#This Row],[Código]],BDMovEstoque!G:G,"Entrada")-SUMIFS(BDMovEstoque!C:C,BDMovEstoque!A:A,Tabela3[[#This Row],[Código]],BDMovEstoque!G:G,"Saída")</f>
        <v>0</v>
      </c>
      <c r="G267" t="str">
        <f>IF(Tabela3[[#This Row],[Saldo Estoque]]&lt;Tabela3[[#This Row],[Estoque Mínimo]],"Sim","")</f>
        <v/>
      </c>
      <c r="H267" s="33">
        <f>Tabela3[[#This Row],[Saldo Estoque]]*Tabela3[[#This Row],[Valor]]</f>
        <v>0</v>
      </c>
    </row>
    <row r="268" spans="1:8" x14ac:dyDescent="0.35">
      <c r="A268" s="1">
        <v>267</v>
      </c>
      <c r="F268" s="9">
        <f>SUMIFS(BDMovEstoque!C:C,BDMovEstoque!A:A,Tabela3[[#This Row],[Código]],BDMovEstoque!G:G,"Entrada")-SUMIFS(BDMovEstoque!C:C,BDMovEstoque!A:A,Tabela3[[#This Row],[Código]],BDMovEstoque!G:G,"Saída")</f>
        <v>0</v>
      </c>
      <c r="G268" t="str">
        <f>IF(Tabela3[[#This Row],[Saldo Estoque]]&lt;Tabela3[[#This Row],[Estoque Mínimo]],"Sim","")</f>
        <v/>
      </c>
      <c r="H268" s="33">
        <f>Tabela3[[#This Row],[Saldo Estoque]]*Tabela3[[#This Row],[Valor]]</f>
        <v>0</v>
      </c>
    </row>
    <row r="269" spans="1:8" x14ac:dyDescent="0.35">
      <c r="A269" s="1">
        <v>268</v>
      </c>
      <c r="F269" s="9">
        <f>SUMIFS(BDMovEstoque!C:C,BDMovEstoque!A:A,Tabela3[[#This Row],[Código]],BDMovEstoque!G:G,"Entrada")-SUMIFS(BDMovEstoque!C:C,BDMovEstoque!A:A,Tabela3[[#This Row],[Código]],BDMovEstoque!G:G,"Saída")</f>
        <v>0</v>
      </c>
      <c r="G269" t="str">
        <f>IF(Tabela3[[#This Row],[Saldo Estoque]]&lt;Tabela3[[#This Row],[Estoque Mínimo]],"Sim","")</f>
        <v/>
      </c>
      <c r="H269" s="33">
        <f>Tabela3[[#This Row],[Saldo Estoque]]*Tabela3[[#This Row],[Valor]]</f>
        <v>0</v>
      </c>
    </row>
    <row r="270" spans="1:8" x14ac:dyDescent="0.35">
      <c r="A270" s="1">
        <v>269</v>
      </c>
      <c r="F270" s="9">
        <f>SUMIFS(BDMovEstoque!C:C,BDMovEstoque!A:A,Tabela3[[#This Row],[Código]],BDMovEstoque!G:G,"Entrada")-SUMIFS(BDMovEstoque!C:C,BDMovEstoque!A:A,Tabela3[[#This Row],[Código]],BDMovEstoque!G:G,"Saída")</f>
        <v>0</v>
      </c>
      <c r="G270" t="str">
        <f>IF(Tabela3[[#This Row],[Saldo Estoque]]&lt;Tabela3[[#This Row],[Estoque Mínimo]],"Sim","")</f>
        <v/>
      </c>
      <c r="H270" s="33">
        <f>Tabela3[[#This Row],[Saldo Estoque]]*Tabela3[[#This Row],[Valor]]</f>
        <v>0</v>
      </c>
    </row>
    <row r="271" spans="1:8" x14ac:dyDescent="0.35">
      <c r="A271" s="1">
        <v>270</v>
      </c>
      <c r="F271" s="9">
        <f>SUMIFS(BDMovEstoque!C:C,BDMovEstoque!A:A,Tabela3[[#This Row],[Código]],BDMovEstoque!G:G,"Entrada")-SUMIFS(BDMovEstoque!C:C,BDMovEstoque!A:A,Tabela3[[#This Row],[Código]],BDMovEstoque!G:G,"Saída")</f>
        <v>0</v>
      </c>
      <c r="G271" t="str">
        <f>IF(Tabela3[[#This Row],[Saldo Estoque]]&lt;Tabela3[[#This Row],[Estoque Mínimo]],"Sim","")</f>
        <v/>
      </c>
      <c r="H271" s="33">
        <f>Tabela3[[#This Row],[Saldo Estoque]]*Tabela3[[#This Row],[Valor]]</f>
        <v>0</v>
      </c>
    </row>
    <row r="272" spans="1:8" x14ac:dyDescent="0.35">
      <c r="A272" s="1">
        <v>271</v>
      </c>
      <c r="F272" s="9">
        <f>SUMIFS(BDMovEstoque!C:C,BDMovEstoque!A:A,Tabela3[[#This Row],[Código]],BDMovEstoque!G:G,"Entrada")-SUMIFS(BDMovEstoque!C:C,BDMovEstoque!A:A,Tabela3[[#This Row],[Código]],BDMovEstoque!G:G,"Saída")</f>
        <v>0</v>
      </c>
      <c r="G272" t="str">
        <f>IF(Tabela3[[#This Row],[Saldo Estoque]]&lt;Tabela3[[#This Row],[Estoque Mínimo]],"Sim","")</f>
        <v/>
      </c>
      <c r="H272" s="33">
        <f>Tabela3[[#This Row],[Saldo Estoque]]*Tabela3[[#This Row],[Valor]]</f>
        <v>0</v>
      </c>
    </row>
    <row r="273" spans="1:8" x14ac:dyDescent="0.35">
      <c r="A273" s="1">
        <v>272</v>
      </c>
      <c r="F273" s="9">
        <f>SUMIFS(BDMovEstoque!C:C,BDMovEstoque!A:A,Tabela3[[#This Row],[Código]],BDMovEstoque!G:G,"Entrada")-SUMIFS(BDMovEstoque!C:C,BDMovEstoque!A:A,Tabela3[[#This Row],[Código]],BDMovEstoque!G:G,"Saída")</f>
        <v>0</v>
      </c>
      <c r="G273" t="str">
        <f>IF(Tabela3[[#This Row],[Saldo Estoque]]&lt;Tabela3[[#This Row],[Estoque Mínimo]],"Sim","")</f>
        <v/>
      </c>
      <c r="H273" s="33">
        <f>Tabela3[[#This Row],[Saldo Estoque]]*Tabela3[[#This Row],[Valor]]</f>
        <v>0</v>
      </c>
    </row>
    <row r="274" spans="1:8" x14ac:dyDescent="0.35">
      <c r="A274" s="1">
        <v>273</v>
      </c>
      <c r="F274" s="9">
        <f>SUMIFS(BDMovEstoque!C:C,BDMovEstoque!A:A,Tabela3[[#This Row],[Código]],BDMovEstoque!G:G,"Entrada")-SUMIFS(BDMovEstoque!C:C,BDMovEstoque!A:A,Tabela3[[#This Row],[Código]],BDMovEstoque!G:G,"Saída")</f>
        <v>0</v>
      </c>
      <c r="G274" t="str">
        <f>IF(Tabela3[[#This Row],[Saldo Estoque]]&lt;Tabela3[[#This Row],[Estoque Mínimo]],"Sim","")</f>
        <v/>
      </c>
      <c r="H274" s="33">
        <f>Tabela3[[#This Row],[Saldo Estoque]]*Tabela3[[#This Row],[Valor]]</f>
        <v>0</v>
      </c>
    </row>
    <row r="275" spans="1:8" x14ac:dyDescent="0.35">
      <c r="A275" s="1">
        <v>274</v>
      </c>
      <c r="F275" s="9">
        <f>SUMIFS(BDMovEstoque!C:C,BDMovEstoque!A:A,Tabela3[[#This Row],[Código]],BDMovEstoque!G:G,"Entrada")-SUMIFS(BDMovEstoque!C:C,BDMovEstoque!A:A,Tabela3[[#This Row],[Código]],BDMovEstoque!G:G,"Saída")</f>
        <v>0</v>
      </c>
      <c r="G275" t="str">
        <f>IF(Tabela3[[#This Row],[Saldo Estoque]]&lt;Tabela3[[#This Row],[Estoque Mínimo]],"Sim","")</f>
        <v/>
      </c>
      <c r="H275" s="33">
        <f>Tabela3[[#This Row],[Saldo Estoque]]*Tabela3[[#This Row],[Valor]]</f>
        <v>0</v>
      </c>
    </row>
    <row r="276" spans="1:8" x14ac:dyDescent="0.35">
      <c r="A276" s="1">
        <v>275</v>
      </c>
      <c r="F276" s="9">
        <f>SUMIFS(BDMovEstoque!C:C,BDMovEstoque!A:A,Tabela3[[#This Row],[Código]],BDMovEstoque!G:G,"Entrada")-SUMIFS(BDMovEstoque!C:C,BDMovEstoque!A:A,Tabela3[[#This Row],[Código]],BDMovEstoque!G:G,"Saída")</f>
        <v>0</v>
      </c>
      <c r="G276" t="str">
        <f>IF(Tabela3[[#This Row],[Saldo Estoque]]&lt;Tabela3[[#This Row],[Estoque Mínimo]],"Sim","")</f>
        <v/>
      </c>
      <c r="H276" s="33">
        <f>Tabela3[[#This Row],[Saldo Estoque]]*Tabela3[[#This Row],[Valor]]</f>
        <v>0</v>
      </c>
    </row>
    <row r="277" spans="1:8" x14ac:dyDescent="0.35">
      <c r="A277" s="1">
        <v>276</v>
      </c>
      <c r="F277" s="9">
        <f>SUMIFS(BDMovEstoque!C:C,BDMovEstoque!A:A,Tabela3[[#This Row],[Código]],BDMovEstoque!G:G,"Entrada")-SUMIFS(BDMovEstoque!C:C,BDMovEstoque!A:A,Tabela3[[#This Row],[Código]],BDMovEstoque!G:G,"Saída")</f>
        <v>0</v>
      </c>
      <c r="G277" t="str">
        <f>IF(Tabela3[[#This Row],[Saldo Estoque]]&lt;Tabela3[[#This Row],[Estoque Mínimo]],"Sim","")</f>
        <v/>
      </c>
      <c r="H277" s="33">
        <f>Tabela3[[#This Row],[Saldo Estoque]]*Tabela3[[#This Row],[Valor]]</f>
        <v>0</v>
      </c>
    </row>
    <row r="278" spans="1:8" x14ac:dyDescent="0.35">
      <c r="A278" s="1">
        <v>277</v>
      </c>
      <c r="F278" s="9">
        <f>SUMIFS(BDMovEstoque!C:C,BDMovEstoque!A:A,Tabela3[[#This Row],[Código]],BDMovEstoque!G:G,"Entrada")-SUMIFS(BDMovEstoque!C:C,BDMovEstoque!A:A,Tabela3[[#This Row],[Código]],BDMovEstoque!G:G,"Saída")</f>
        <v>0</v>
      </c>
      <c r="G278" t="str">
        <f>IF(Tabela3[[#This Row],[Saldo Estoque]]&lt;Tabela3[[#This Row],[Estoque Mínimo]],"Sim","")</f>
        <v/>
      </c>
      <c r="H278" s="33">
        <f>Tabela3[[#This Row],[Saldo Estoque]]*Tabela3[[#This Row],[Valor]]</f>
        <v>0</v>
      </c>
    </row>
    <row r="279" spans="1:8" x14ac:dyDescent="0.35">
      <c r="A279" s="1">
        <v>278</v>
      </c>
      <c r="F279" s="9">
        <f>SUMIFS(BDMovEstoque!C:C,BDMovEstoque!A:A,Tabela3[[#This Row],[Código]],BDMovEstoque!G:G,"Entrada")-SUMIFS(BDMovEstoque!C:C,BDMovEstoque!A:A,Tabela3[[#This Row],[Código]],BDMovEstoque!G:G,"Saída")</f>
        <v>0</v>
      </c>
      <c r="G279" t="str">
        <f>IF(Tabela3[[#This Row],[Saldo Estoque]]&lt;Tabela3[[#This Row],[Estoque Mínimo]],"Sim","")</f>
        <v/>
      </c>
      <c r="H279" s="33">
        <f>Tabela3[[#This Row],[Saldo Estoque]]*Tabela3[[#This Row],[Valor]]</f>
        <v>0</v>
      </c>
    </row>
    <row r="280" spans="1:8" x14ac:dyDescent="0.35">
      <c r="A280" s="1">
        <v>279</v>
      </c>
      <c r="F280" s="9">
        <f>SUMIFS(BDMovEstoque!C:C,BDMovEstoque!A:A,Tabela3[[#This Row],[Código]],BDMovEstoque!G:G,"Entrada")-SUMIFS(BDMovEstoque!C:C,BDMovEstoque!A:A,Tabela3[[#This Row],[Código]],BDMovEstoque!G:G,"Saída")</f>
        <v>0</v>
      </c>
      <c r="G280" t="str">
        <f>IF(Tabela3[[#This Row],[Saldo Estoque]]&lt;Tabela3[[#This Row],[Estoque Mínimo]],"Sim","")</f>
        <v/>
      </c>
      <c r="H280" s="33">
        <f>Tabela3[[#This Row],[Saldo Estoque]]*Tabela3[[#This Row],[Valor]]</f>
        <v>0</v>
      </c>
    </row>
    <row r="281" spans="1:8" x14ac:dyDescent="0.35">
      <c r="A281" s="1">
        <v>280</v>
      </c>
      <c r="F281" s="9">
        <f>SUMIFS(BDMovEstoque!C:C,BDMovEstoque!A:A,Tabela3[[#This Row],[Código]],BDMovEstoque!G:G,"Entrada")-SUMIFS(BDMovEstoque!C:C,BDMovEstoque!A:A,Tabela3[[#This Row],[Código]],BDMovEstoque!G:G,"Saída")</f>
        <v>0</v>
      </c>
      <c r="G281" t="str">
        <f>IF(Tabela3[[#This Row],[Saldo Estoque]]&lt;Tabela3[[#This Row],[Estoque Mínimo]],"Sim","")</f>
        <v/>
      </c>
      <c r="H281" s="33">
        <f>Tabela3[[#This Row],[Saldo Estoque]]*Tabela3[[#This Row],[Valor]]</f>
        <v>0</v>
      </c>
    </row>
    <row r="282" spans="1:8" x14ac:dyDescent="0.35">
      <c r="A282" s="1">
        <v>281</v>
      </c>
      <c r="F282" s="9">
        <f>SUMIFS(BDMovEstoque!C:C,BDMovEstoque!A:A,Tabela3[[#This Row],[Código]],BDMovEstoque!G:G,"Entrada")-SUMIFS(BDMovEstoque!C:C,BDMovEstoque!A:A,Tabela3[[#This Row],[Código]],BDMovEstoque!G:G,"Saída")</f>
        <v>0</v>
      </c>
      <c r="G282" t="str">
        <f>IF(Tabela3[[#This Row],[Saldo Estoque]]&lt;Tabela3[[#This Row],[Estoque Mínimo]],"Sim","")</f>
        <v/>
      </c>
      <c r="H282" s="33">
        <f>Tabela3[[#This Row],[Saldo Estoque]]*Tabela3[[#This Row],[Valor]]</f>
        <v>0</v>
      </c>
    </row>
    <row r="283" spans="1:8" x14ac:dyDescent="0.35">
      <c r="A283" s="1">
        <v>282</v>
      </c>
      <c r="F283" s="9">
        <f>SUMIFS(BDMovEstoque!C:C,BDMovEstoque!A:A,Tabela3[[#This Row],[Código]],BDMovEstoque!G:G,"Entrada")-SUMIFS(BDMovEstoque!C:C,BDMovEstoque!A:A,Tabela3[[#This Row],[Código]],BDMovEstoque!G:G,"Saída")</f>
        <v>0</v>
      </c>
      <c r="G283" t="str">
        <f>IF(Tabela3[[#This Row],[Saldo Estoque]]&lt;Tabela3[[#This Row],[Estoque Mínimo]],"Sim","")</f>
        <v/>
      </c>
      <c r="H283" s="33">
        <f>Tabela3[[#This Row],[Saldo Estoque]]*Tabela3[[#This Row],[Valor]]</f>
        <v>0</v>
      </c>
    </row>
    <row r="284" spans="1:8" x14ac:dyDescent="0.35">
      <c r="A284" s="1">
        <v>283</v>
      </c>
      <c r="F284" s="9">
        <f>SUMIFS(BDMovEstoque!C:C,BDMovEstoque!A:A,Tabela3[[#This Row],[Código]],BDMovEstoque!G:G,"Entrada")-SUMIFS(BDMovEstoque!C:C,BDMovEstoque!A:A,Tabela3[[#This Row],[Código]],BDMovEstoque!G:G,"Saída")</f>
        <v>0</v>
      </c>
      <c r="G284" t="str">
        <f>IF(Tabela3[[#This Row],[Saldo Estoque]]&lt;Tabela3[[#This Row],[Estoque Mínimo]],"Sim","")</f>
        <v/>
      </c>
      <c r="H284" s="33">
        <f>Tabela3[[#This Row],[Saldo Estoque]]*Tabela3[[#This Row],[Valor]]</f>
        <v>0</v>
      </c>
    </row>
    <row r="285" spans="1:8" x14ac:dyDescent="0.35">
      <c r="A285" s="1">
        <v>284</v>
      </c>
      <c r="F285" s="9">
        <f>SUMIFS(BDMovEstoque!C:C,BDMovEstoque!A:A,Tabela3[[#This Row],[Código]],BDMovEstoque!G:G,"Entrada")-SUMIFS(BDMovEstoque!C:C,BDMovEstoque!A:A,Tabela3[[#This Row],[Código]],BDMovEstoque!G:G,"Saída")</f>
        <v>0</v>
      </c>
      <c r="G285" t="str">
        <f>IF(Tabela3[[#This Row],[Saldo Estoque]]&lt;Tabela3[[#This Row],[Estoque Mínimo]],"Sim","")</f>
        <v/>
      </c>
      <c r="H285" s="33">
        <f>Tabela3[[#This Row],[Saldo Estoque]]*Tabela3[[#This Row],[Valor]]</f>
        <v>0</v>
      </c>
    </row>
    <row r="286" spans="1:8" x14ac:dyDescent="0.35">
      <c r="A286" s="1">
        <v>285</v>
      </c>
      <c r="F286" s="9">
        <f>SUMIFS(BDMovEstoque!C:C,BDMovEstoque!A:A,Tabela3[[#This Row],[Código]],BDMovEstoque!G:G,"Entrada")-SUMIFS(BDMovEstoque!C:C,BDMovEstoque!A:A,Tabela3[[#This Row],[Código]],BDMovEstoque!G:G,"Saída")</f>
        <v>0</v>
      </c>
      <c r="G286" t="str">
        <f>IF(Tabela3[[#This Row],[Saldo Estoque]]&lt;Tabela3[[#This Row],[Estoque Mínimo]],"Sim","")</f>
        <v/>
      </c>
      <c r="H286" s="33">
        <f>Tabela3[[#This Row],[Saldo Estoque]]*Tabela3[[#This Row],[Valor]]</f>
        <v>0</v>
      </c>
    </row>
    <row r="287" spans="1:8" x14ac:dyDescent="0.35">
      <c r="A287" s="1">
        <v>286</v>
      </c>
      <c r="F287" s="9">
        <f>SUMIFS(BDMovEstoque!C:C,BDMovEstoque!A:A,Tabela3[[#This Row],[Código]],BDMovEstoque!G:G,"Entrada")-SUMIFS(BDMovEstoque!C:C,BDMovEstoque!A:A,Tabela3[[#This Row],[Código]],BDMovEstoque!G:G,"Saída")</f>
        <v>0</v>
      </c>
      <c r="G287" t="str">
        <f>IF(Tabela3[[#This Row],[Saldo Estoque]]&lt;Tabela3[[#This Row],[Estoque Mínimo]],"Sim","")</f>
        <v/>
      </c>
      <c r="H287" s="33">
        <f>Tabela3[[#This Row],[Saldo Estoque]]*Tabela3[[#This Row],[Valor]]</f>
        <v>0</v>
      </c>
    </row>
    <row r="288" spans="1:8" x14ac:dyDescent="0.35">
      <c r="A288" s="1">
        <v>287</v>
      </c>
      <c r="F288" s="9">
        <f>SUMIFS(BDMovEstoque!C:C,BDMovEstoque!A:A,Tabela3[[#This Row],[Código]],BDMovEstoque!G:G,"Entrada")-SUMIFS(BDMovEstoque!C:C,BDMovEstoque!A:A,Tabela3[[#This Row],[Código]],BDMovEstoque!G:G,"Saída")</f>
        <v>0</v>
      </c>
      <c r="G288" t="str">
        <f>IF(Tabela3[[#This Row],[Saldo Estoque]]&lt;Tabela3[[#This Row],[Estoque Mínimo]],"Sim","")</f>
        <v/>
      </c>
      <c r="H288" s="33">
        <f>Tabela3[[#This Row],[Saldo Estoque]]*Tabela3[[#This Row],[Valor]]</f>
        <v>0</v>
      </c>
    </row>
    <row r="289" spans="1:8" x14ac:dyDescent="0.35">
      <c r="A289" s="1">
        <v>288</v>
      </c>
      <c r="F289" s="9">
        <f>SUMIFS(BDMovEstoque!C:C,BDMovEstoque!A:A,Tabela3[[#This Row],[Código]],BDMovEstoque!G:G,"Entrada")-SUMIFS(BDMovEstoque!C:C,BDMovEstoque!A:A,Tabela3[[#This Row],[Código]],BDMovEstoque!G:G,"Saída")</f>
        <v>0</v>
      </c>
      <c r="G289" t="str">
        <f>IF(Tabela3[[#This Row],[Saldo Estoque]]&lt;Tabela3[[#This Row],[Estoque Mínimo]],"Sim","")</f>
        <v/>
      </c>
      <c r="H289" s="33">
        <f>Tabela3[[#This Row],[Saldo Estoque]]*Tabela3[[#This Row],[Valor]]</f>
        <v>0</v>
      </c>
    </row>
    <row r="290" spans="1:8" x14ac:dyDescent="0.35">
      <c r="A290" s="1">
        <v>289</v>
      </c>
      <c r="F290" s="9">
        <f>SUMIFS(BDMovEstoque!C:C,BDMovEstoque!A:A,Tabela3[[#This Row],[Código]],BDMovEstoque!G:G,"Entrada")-SUMIFS(BDMovEstoque!C:C,BDMovEstoque!A:A,Tabela3[[#This Row],[Código]],BDMovEstoque!G:G,"Saída")</f>
        <v>0</v>
      </c>
      <c r="G290" t="str">
        <f>IF(Tabela3[[#This Row],[Saldo Estoque]]&lt;Tabela3[[#This Row],[Estoque Mínimo]],"Sim","")</f>
        <v/>
      </c>
      <c r="H290" s="33">
        <f>Tabela3[[#This Row],[Saldo Estoque]]*Tabela3[[#This Row],[Valor]]</f>
        <v>0</v>
      </c>
    </row>
    <row r="291" spans="1:8" x14ac:dyDescent="0.35">
      <c r="A291" s="1">
        <v>290</v>
      </c>
      <c r="F291" s="9">
        <f>SUMIFS(BDMovEstoque!C:C,BDMovEstoque!A:A,Tabela3[[#This Row],[Código]],BDMovEstoque!G:G,"Entrada")-SUMIFS(BDMovEstoque!C:C,BDMovEstoque!A:A,Tabela3[[#This Row],[Código]],BDMovEstoque!G:G,"Saída")</f>
        <v>0</v>
      </c>
      <c r="G291" t="str">
        <f>IF(Tabela3[[#This Row],[Saldo Estoque]]&lt;Tabela3[[#This Row],[Estoque Mínimo]],"Sim","")</f>
        <v/>
      </c>
      <c r="H291" s="33">
        <f>Tabela3[[#This Row],[Saldo Estoque]]*Tabela3[[#This Row],[Valor]]</f>
        <v>0</v>
      </c>
    </row>
    <row r="292" spans="1:8" x14ac:dyDescent="0.35">
      <c r="A292" s="1">
        <v>291</v>
      </c>
      <c r="F292" s="9">
        <f>SUMIFS(BDMovEstoque!C:C,BDMovEstoque!A:A,Tabela3[[#This Row],[Código]],BDMovEstoque!G:G,"Entrada")-SUMIFS(BDMovEstoque!C:C,BDMovEstoque!A:A,Tabela3[[#This Row],[Código]],BDMovEstoque!G:G,"Saída")</f>
        <v>0</v>
      </c>
      <c r="G292" t="str">
        <f>IF(Tabela3[[#This Row],[Saldo Estoque]]&lt;Tabela3[[#This Row],[Estoque Mínimo]],"Sim","")</f>
        <v/>
      </c>
      <c r="H292" s="33">
        <f>Tabela3[[#This Row],[Saldo Estoque]]*Tabela3[[#This Row],[Valor]]</f>
        <v>0</v>
      </c>
    </row>
    <row r="293" spans="1:8" x14ac:dyDescent="0.35">
      <c r="A293" s="1">
        <v>292</v>
      </c>
      <c r="F293" s="9">
        <f>SUMIFS(BDMovEstoque!C:C,BDMovEstoque!A:A,Tabela3[[#This Row],[Código]],BDMovEstoque!G:G,"Entrada")-SUMIFS(BDMovEstoque!C:C,BDMovEstoque!A:A,Tabela3[[#This Row],[Código]],BDMovEstoque!G:G,"Saída")</f>
        <v>0</v>
      </c>
      <c r="G293" t="str">
        <f>IF(Tabela3[[#This Row],[Saldo Estoque]]&lt;Tabela3[[#This Row],[Estoque Mínimo]],"Sim","")</f>
        <v/>
      </c>
      <c r="H293" s="33">
        <f>Tabela3[[#This Row],[Saldo Estoque]]*Tabela3[[#This Row],[Valor]]</f>
        <v>0</v>
      </c>
    </row>
    <row r="294" spans="1:8" x14ac:dyDescent="0.35">
      <c r="A294" s="1">
        <v>293</v>
      </c>
      <c r="F294" s="9">
        <f>SUMIFS(BDMovEstoque!C:C,BDMovEstoque!A:A,Tabela3[[#This Row],[Código]],BDMovEstoque!G:G,"Entrada")-SUMIFS(BDMovEstoque!C:C,BDMovEstoque!A:A,Tabela3[[#This Row],[Código]],BDMovEstoque!G:G,"Saída")</f>
        <v>0</v>
      </c>
      <c r="G294" t="str">
        <f>IF(Tabela3[[#This Row],[Saldo Estoque]]&lt;Tabela3[[#This Row],[Estoque Mínimo]],"Sim","")</f>
        <v/>
      </c>
      <c r="H294" s="33">
        <f>Tabela3[[#This Row],[Saldo Estoque]]*Tabela3[[#This Row],[Valor]]</f>
        <v>0</v>
      </c>
    </row>
    <row r="295" spans="1:8" x14ac:dyDescent="0.35">
      <c r="A295" s="1">
        <v>294</v>
      </c>
      <c r="F295" s="9">
        <f>SUMIFS(BDMovEstoque!C:C,BDMovEstoque!A:A,Tabela3[[#This Row],[Código]],BDMovEstoque!G:G,"Entrada")-SUMIFS(BDMovEstoque!C:C,BDMovEstoque!A:A,Tabela3[[#This Row],[Código]],BDMovEstoque!G:G,"Saída")</f>
        <v>0</v>
      </c>
      <c r="G295" t="str">
        <f>IF(Tabela3[[#This Row],[Saldo Estoque]]&lt;Tabela3[[#This Row],[Estoque Mínimo]],"Sim","")</f>
        <v/>
      </c>
      <c r="H295" s="33">
        <f>Tabela3[[#This Row],[Saldo Estoque]]*Tabela3[[#This Row],[Valor]]</f>
        <v>0</v>
      </c>
    </row>
    <row r="296" spans="1:8" x14ac:dyDescent="0.35">
      <c r="A296" s="1">
        <v>295</v>
      </c>
      <c r="F296" s="9">
        <f>SUMIFS(BDMovEstoque!C:C,BDMovEstoque!A:A,Tabela3[[#This Row],[Código]],BDMovEstoque!G:G,"Entrada")-SUMIFS(BDMovEstoque!C:C,BDMovEstoque!A:A,Tabela3[[#This Row],[Código]],BDMovEstoque!G:G,"Saída")</f>
        <v>0</v>
      </c>
      <c r="G296" t="str">
        <f>IF(Tabela3[[#This Row],[Saldo Estoque]]&lt;Tabela3[[#This Row],[Estoque Mínimo]],"Sim","")</f>
        <v/>
      </c>
      <c r="H296" s="33">
        <f>Tabela3[[#This Row],[Saldo Estoque]]*Tabela3[[#This Row],[Valor]]</f>
        <v>0</v>
      </c>
    </row>
    <row r="297" spans="1:8" x14ac:dyDescent="0.35">
      <c r="A297" s="1">
        <v>296</v>
      </c>
      <c r="F297" s="9">
        <f>SUMIFS(BDMovEstoque!C:C,BDMovEstoque!A:A,Tabela3[[#This Row],[Código]],BDMovEstoque!G:G,"Entrada")-SUMIFS(BDMovEstoque!C:C,BDMovEstoque!A:A,Tabela3[[#This Row],[Código]],BDMovEstoque!G:G,"Saída")</f>
        <v>0</v>
      </c>
      <c r="G297" t="str">
        <f>IF(Tabela3[[#This Row],[Saldo Estoque]]&lt;Tabela3[[#This Row],[Estoque Mínimo]],"Sim","")</f>
        <v/>
      </c>
      <c r="H297" s="33">
        <f>Tabela3[[#This Row],[Saldo Estoque]]*Tabela3[[#This Row],[Valor]]</f>
        <v>0</v>
      </c>
    </row>
    <row r="298" spans="1:8" x14ac:dyDescent="0.35">
      <c r="A298" s="1">
        <v>297</v>
      </c>
      <c r="F298" s="9">
        <f>SUMIFS(BDMovEstoque!C:C,BDMovEstoque!A:A,Tabela3[[#This Row],[Código]],BDMovEstoque!G:G,"Entrada")-SUMIFS(BDMovEstoque!C:C,BDMovEstoque!A:A,Tabela3[[#This Row],[Código]],BDMovEstoque!G:G,"Saída")</f>
        <v>0</v>
      </c>
      <c r="G298" t="str">
        <f>IF(Tabela3[[#This Row],[Saldo Estoque]]&lt;Tabela3[[#This Row],[Estoque Mínimo]],"Sim","")</f>
        <v/>
      </c>
      <c r="H298" s="33">
        <f>Tabela3[[#This Row],[Saldo Estoque]]*Tabela3[[#This Row],[Valor]]</f>
        <v>0</v>
      </c>
    </row>
    <row r="299" spans="1:8" x14ac:dyDescent="0.35">
      <c r="A299" s="1">
        <v>298</v>
      </c>
      <c r="F299" s="9">
        <f>SUMIFS(BDMovEstoque!C:C,BDMovEstoque!A:A,Tabela3[[#This Row],[Código]],BDMovEstoque!G:G,"Entrada")-SUMIFS(BDMovEstoque!C:C,BDMovEstoque!A:A,Tabela3[[#This Row],[Código]],BDMovEstoque!G:G,"Saída")</f>
        <v>0</v>
      </c>
      <c r="G299" t="str">
        <f>IF(Tabela3[[#This Row],[Saldo Estoque]]&lt;Tabela3[[#This Row],[Estoque Mínimo]],"Sim","")</f>
        <v/>
      </c>
      <c r="H299" s="33">
        <f>Tabela3[[#This Row],[Saldo Estoque]]*Tabela3[[#This Row],[Valor]]</f>
        <v>0</v>
      </c>
    </row>
    <row r="300" spans="1:8" x14ac:dyDescent="0.35">
      <c r="A300" s="1">
        <v>299</v>
      </c>
      <c r="F300" s="9">
        <f>SUMIFS(BDMovEstoque!C:C,BDMovEstoque!A:A,Tabela3[[#This Row],[Código]],BDMovEstoque!G:G,"Entrada")-SUMIFS(BDMovEstoque!C:C,BDMovEstoque!A:A,Tabela3[[#This Row],[Código]],BDMovEstoque!G:G,"Saída")</f>
        <v>0</v>
      </c>
      <c r="G300" t="str">
        <f>IF(Tabela3[[#This Row],[Saldo Estoque]]&lt;Tabela3[[#This Row],[Estoque Mínimo]],"Sim","")</f>
        <v/>
      </c>
      <c r="H300" s="33">
        <f>Tabela3[[#This Row],[Saldo Estoque]]*Tabela3[[#This Row],[Valor]]</f>
        <v>0</v>
      </c>
    </row>
    <row r="301" spans="1:8" x14ac:dyDescent="0.35">
      <c r="A301" s="1">
        <v>300</v>
      </c>
      <c r="F301" s="9">
        <f>SUMIFS(BDMovEstoque!C:C,BDMovEstoque!A:A,Tabela3[[#This Row],[Código]],BDMovEstoque!G:G,"Entrada")-SUMIFS(BDMovEstoque!C:C,BDMovEstoque!A:A,Tabela3[[#This Row],[Código]],BDMovEstoque!G:G,"Saída")</f>
        <v>0</v>
      </c>
      <c r="G301" t="str">
        <f>IF(Tabela3[[#This Row],[Saldo Estoque]]&lt;Tabela3[[#This Row],[Estoque Mínimo]],"Sim","")</f>
        <v/>
      </c>
      <c r="H301" s="33">
        <f>Tabela3[[#This Row],[Saldo Estoque]]*Tabela3[[#This Row],[Valor]]</f>
        <v>0</v>
      </c>
    </row>
    <row r="302" spans="1:8" x14ac:dyDescent="0.35">
      <c r="A302" s="1">
        <v>301</v>
      </c>
      <c r="F302" s="9">
        <f>SUMIFS(BDMovEstoque!C:C,BDMovEstoque!A:A,Tabela3[[#This Row],[Código]],BDMovEstoque!G:G,"Entrada")-SUMIFS(BDMovEstoque!C:C,BDMovEstoque!A:A,Tabela3[[#This Row],[Código]],BDMovEstoque!G:G,"Saída")</f>
        <v>0</v>
      </c>
      <c r="G302" t="str">
        <f>IF(Tabela3[[#This Row],[Saldo Estoque]]&lt;Tabela3[[#This Row],[Estoque Mínimo]],"Sim","")</f>
        <v/>
      </c>
      <c r="H302" s="33">
        <f>Tabela3[[#This Row],[Saldo Estoque]]*Tabela3[[#This Row],[Valor]]</f>
        <v>0</v>
      </c>
    </row>
    <row r="303" spans="1:8" x14ac:dyDescent="0.35">
      <c r="A303" s="1">
        <v>302</v>
      </c>
      <c r="F303" s="9">
        <f>SUMIFS(BDMovEstoque!C:C,BDMovEstoque!A:A,Tabela3[[#This Row],[Código]],BDMovEstoque!G:G,"Entrada")-SUMIFS(BDMovEstoque!C:C,BDMovEstoque!A:A,Tabela3[[#This Row],[Código]],BDMovEstoque!G:G,"Saída")</f>
        <v>0</v>
      </c>
      <c r="G303" t="str">
        <f>IF(Tabela3[[#This Row],[Saldo Estoque]]&lt;Tabela3[[#This Row],[Estoque Mínimo]],"Sim","")</f>
        <v/>
      </c>
      <c r="H303" s="33">
        <f>Tabela3[[#This Row],[Saldo Estoque]]*Tabela3[[#This Row],[Valor]]</f>
        <v>0</v>
      </c>
    </row>
    <row r="304" spans="1:8" x14ac:dyDescent="0.35">
      <c r="A304" s="1">
        <v>303</v>
      </c>
      <c r="F304" s="9">
        <f>SUMIFS(BDMovEstoque!C:C,BDMovEstoque!A:A,Tabela3[[#This Row],[Código]],BDMovEstoque!G:G,"Entrada")-SUMIFS(BDMovEstoque!C:C,BDMovEstoque!A:A,Tabela3[[#This Row],[Código]],BDMovEstoque!G:G,"Saída")</f>
        <v>0</v>
      </c>
      <c r="G304" t="str">
        <f>IF(Tabela3[[#This Row],[Saldo Estoque]]&lt;Tabela3[[#This Row],[Estoque Mínimo]],"Sim","")</f>
        <v/>
      </c>
      <c r="H304" s="33">
        <f>Tabela3[[#This Row],[Saldo Estoque]]*Tabela3[[#This Row],[Valor]]</f>
        <v>0</v>
      </c>
    </row>
    <row r="305" spans="1:8" x14ac:dyDescent="0.35">
      <c r="A305" s="1">
        <v>304</v>
      </c>
      <c r="F305" s="9">
        <f>SUMIFS(BDMovEstoque!C:C,BDMovEstoque!A:A,Tabela3[[#This Row],[Código]],BDMovEstoque!G:G,"Entrada")-SUMIFS(BDMovEstoque!C:C,BDMovEstoque!A:A,Tabela3[[#This Row],[Código]],BDMovEstoque!G:G,"Saída")</f>
        <v>0</v>
      </c>
      <c r="G305" t="str">
        <f>IF(Tabela3[[#This Row],[Saldo Estoque]]&lt;Tabela3[[#This Row],[Estoque Mínimo]],"Sim","")</f>
        <v/>
      </c>
      <c r="H305" s="33">
        <f>Tabela3[[#This Row],[Saldo Estoque]]*Tabela3[[#This Row],[Valor]]</f>
        <v>0</v>
      </c>
    </row>
    <row r="306" spans="1:8" x14ac:dyDescent="0.35">
      <c r="A306" s="1">
        <v>305</v>
      </c>
      <c r="F306" s="9">
        <f>SUMIFS(BDMovEstoque!C:C,BDMovEstoque!A:A,Tabela3[[#This Row],[Código]],BDMovEstoque!G:G,"Entrada")-SUMIFS(BDMovEstoque!C:C,BDMovEstoque!A:A,Tabela3[[#This Row],[Código]],BDMovEstoque!G:G,"Saída")</f>
        <v>0</v>
      </c>
      <c r="G306" t="str">
        <f>IF(Tabela3[[#This Row],[Saldo Estoque]]&lt;Tabela3[[#This Row],[Estoque Mínimo]],"Sim","")</f>
        <v/>
      </c>
      <c r="H306" s="33">
        <f>Tabela3[[#This Row],[Saldo Estoque]]*Tabela3[[#This Row],[Valor]]</f>
        <v>0</v>
      </c>
    </row>
    <row r="307" spans="1:8" x14ac:dyDescent="0.35">
      <c r="A307" s="1">
        <v>306</v>
      </c>
      <c r="F307" s="9">
        <f>SUMIFS(BDMovEstoque!C:C,BDMovEstoque!A:A,Tabela3[[#This Row],[Código]],BDMovEstoque!G:G,"Entrada")-SUMIFS(BDMovEstoque!C:C,BDMovEstoque!A:A,Tabela3[[#This Row],[Código]],BDMovEstoque!G:G,"Saída")</f>
        <v>0</v>
      </c>
      <c r="G307" t="str">
        <f>IF(Tabela3[[#This Row],[Saldo Estoque]]&lt;Tabela3[[#This Row],[Estoque Mínimo]],"Sim","")</f>
        <v/>
      </c>
      <c r="H307" s="33">
        <f>Tabela3[[#This Row],[Saldo Estoque]]*Tabela3[[#This Row],[Valor]]</f>
        <v>0</v>
      </c>
    </row>
    <row r="308" spans="1:8" x14ac:dyDescent="0.35">
      <c r="A308" s="1">
        <v>307</v>
      </c>
      <c r="F308" s="9">
        <f>SUMIFS(BDMovEstoque!C:C,BDMovEstoque!A:A,Tabela3[[#This Row],[Código]],BDMovEstoque!G:G,"Entrada")-SUMIFS(BDMovEstoque!C:C,BDMovEstoque!A:A,Tabela3[[#This Row],[Código]],BDMovEstoque!G:G,"Saída")</f>
        <v>0</v>
      </c>
      <c r="G308" t="str">
        <f>IF(Tabela3[[#This Row],[Saldo Estoque]]&lt;Tabela3[[#This Row],[Estoque Mínimo]],"Sim","")</f>
        <v/>
      </c>
      <c r="H308" s="33">
        <f>Tabela3[[#This Row],[Saldo Estoque]]*Tabela3[[#This Row],[Valor]]</f>
        <v>0</v>
      </c>
    </row>
    <row r="309" spans="1:8" x14ac:dyDescent="0.35">
      <c r="A309" s="1">
        <v>308</v>
      </c>
      <c r="F309" s="9">
        <f>SUMIFS(BDMovEstoque!C:C,BDMovEstoque!A:A,Tabela3[[#This Row],[Código]],BDMovEstoque!G:G,"Entrada")-SUMIFS(BDMovEstoque!C:C,BDMovEstoque!A:A,Tabela3[[#This Row],[Código]],BDMovEstoque!G:G,"Saída")</f>
        <v>0</v>
      </c>
      <c r="G309" t="str">
        <f>IF(Tabela3[[#This Row],[Saldo Estoque]]&lt;Tabela3[[#This Row],[Estoque Mínimo]],"Sim","")</f>
        <v/>
      </c>
      <c r="H309" s="33">
        <f>Tabela3[[#This Row],[Saldo Estoque]]*Tabela3[[#This Row],[Valor]]</f>
        <v>0</v>
      </c>
    </row>
    <row r="310" spans="1:8" x14ac:dyDescent="0.35">
      <c r="A310" s="1">
        <v>309</v>
      </c>
      <c r="F310" s="9">
        <f>SUMIFS(BDMovEstoque!C:C,BDMovEstoque!A:A,Tabela3[[#This Row],[Código]],BDMovEstoque!G:G,"Entrada")-SUMIFS(BDMovEstoque!C:C,BDMovEstoque!A:A,Tabela3[[#This Row],[Código]],BDMovEstoque!G:G,"Saída")</f>
        <v>0</v>
      </c>
      <c r="G310" t="str">
        <f>IF(Tabela3[[#This Row],[Saldo Estoque]]&lt;Tabela3[[#This Row],[Estoque Mínimo]],"Sim","")</f>
        <v/>
      </c>
      <c r="H310" s="33">
        <f>Tabela3[[#This Row],[Saldo Estoque]]*Tabela3[[#This Row],[Valor]]</f>
        <v>0</v>
      </c>
    </row>
    <row r="311" spans="1:8" x14ac:dyDescent="0.35">
      <c r="A311" s="1">
        <v>310</v>
      </c>
      <c r="F311" s="9">
        <f>SUMIFS(BDMovEstoque!C:C,BDMovEstoque!A:A,Tabela3[[#This Row],[Código]],BDMovEstoque!G:G,"Entrada")-SUMIFS(BDMovEstoque!C:C,BDMovEstoque!A:A,Tabela3[[#This Row],[Código]],BDMovEstoque!G:G,"Saída")</f>
        <v>0</v>
      </c>
      <c r="G311" t="str">
        <f>IF(Tabela3[[#This Row],[Saldo Estoque]]&lt;Tabela3[[#This Row],[Estoque Mínimo]],"Sim","")</f>
        <v/>
      </c>
      <c r="H311" s="33">
        <f>Tabela3[[#This Row],[Saldo Estoque]]*Tabela3[[#This Row],[Valor]]</f>
        <v>0</v>
      </c>
    </row>
    <row r="312" spans="1:8" x14ac:dyDescent="0.35">
      <c r="A312" s="1">
        <v>311</v>
      </c>
      <c r="F312" s="9">
        <f>SUMIFS(BDMovEstoque!C:C,BDMovEstoque!A:A,Tabela3[[#This Row],[Código]],BDMovEstoque!G:G,"Entrada")-SUMIFS(BDMovEstoque!C:C,BDMovEstoque!A:A,Tabela3[[#This Row],[Código]],BDMovEstoque!G:G,"Saída")</f>
        <v>0</v>
      </c>
      <c r="G312" t="str">
        <f>IF(Tabela3[[#This Row],[Saldo Estoque]]&lt;Tabela3[[#This Row],[Estoque Mínimo]],"Sim","")</f>
        <v/>
      </c>
      <c r="H312" s="33">
        <f>Tabela3[[#This Row],[Saldo Estoque]]*Tabela3[[#This Row],[Valor]]</f>
        <v>0</v>
      </c>
    </row>
    <row r="313" spans="1:8" x14ac:dyDescent="0.35">
      <c r="A313" s="1">
        <v>312</v>
      </c>
      <c r="F313" s="9">
        <f>SUMIFS(BDMovEstoque!C:C,BDMovEstoque!A:A,Tabela3[[#This Row],[Código]],BDMovEstoque!G:G,"Entrada")-SUMIFS(BDMovEstoque!C:C,BDMovEstoque!A:A,Tabela3[[#This Row],[Código]],BDMovEstoque!G:G,"Saída")</f>
        <v>0</v>
      </c>
      <c r="G313" t="str">
        <f>IF(Tabela3[[#This Row],[Saldo Estoque]]&lt;Tabela3[[#This Row],[Estoque Mínimo]],"Sim","")</f>
        <v/>
      </c>
      <c r="H313" s="33">
        <f>Tabela3[[#This Row],[Saldo Estoque]]*Tabela3[[#This Row],[Valor]]</f>
        <v>0</v>
      </c>
    </row>
    <row r="314" spans="1:8" x14ac:dyDescent="0.35">
      <c r="A314" s="1">
        <v>313</v>
      </c>
      <c r="F314" s="9">
        <f>SUMIFS(BDMovEstoque!C:C,BDMovEstoque!A:A,Tabela3[[#This Row],[Código]],BDMovEstoque!G:G,"Entrada")-SUMIFS(BDMovEstoque!C:C,BDMovEstoque!A:A,Tabela3[[#This Row],[Código]],BDMovEstoque!G:G,"Saída")</f>
        <v>0</v>
      </c>
      <c r="G314" t="str">
        <f>IF(Tabela3[[#This Row],[Saldo Estoque]]&lt;Tabela3[[#This Row],[Estoque Mínimo]],"Sim","")</f>
        <v/>
      </c>
      <c r="H314" s="33">
        <f>Tabela3[[#This Row],[Saldo Estoque]]*Tabela3[[#This Row],[Valor]]</f>
        <v>0</v>
      </c>
    </row>
    <row r="315" spans="1:8" x14ac:dyDescent="0.35">
      <c r="A315" s="1">
        <v>314</v>
      </c>
      <c r="F315" s="9">
        <f>SUMIFS(BDMovEstoque!C:C,BDMovEstoque!A:A,Tabela3[[#This Row],[Código]],BDMovEstoque!G:G,"Entrada")-SUMIFS(BDMovEstoque!C:C,BDMovEstoque!A:A,Tabela3[[#This Row],[Código]],BDMovEstoque!G:G,"Saída")</f>
        <v>0</v>
      </c>
      <c r="G315" t="str">
        <f>IF(Tabela3[[#This Row],[Saldo Estoque]]&lt;Tabela3[[#This Row],[Estoque Mínimo]],"Sim","")</f>
        <v/>
      </c>
      <c r="H315" s="33">
        <f>Tabela3[[#This Row],[Saldo Estoque]]*Tabela3[[#This Row],[Valor]]</f>
        <v>0</v>
      </c>
    </row>
    <row r="316" spans="1:8" x14ac:dyDescent="0.35">
      <c r="A316" s="1">
        <v>315</v>
      </c>
      <c r="F316" s="9">
        <f>SUMIFS(BDMovEstoque!C:C,BDMovEstoque!A:A,Tabela3[[#This Row],[Código]],BDMovEstoque!G:G,"Entrada")-SUMIFS(BDMovEstoque!C:C,BDMovEstoque!A:A,Tabela3[[#This Row],[Código]],BDMovEstoque!G:G,"Saída")</f>
        <v>0</v>
      </c>
      <c r="G316" t="str">
        <f>IF(Tabela3[[#This Row],[Saldo Estoque]]&lt;Tabela3[[#This Row],[Estoque Mínimo]],"Sim","")</f>
        <v/>
      </c>
      <c r="H316" s="33">
        <f>Tabela3[[#This Row],[Saldo Estoque]]*Tabela3[[#This Row],[Valor]]</f>
        <v>0</v>
      </c>
    </row>
    <row r="317" spans="1:8" x14ac:dyDescent="0.35">
      <c r="A317" s="1">
        <v>316</v>
      </c>
      <c r="F317" s="9">
        <f>SUMIFS(BDMovEstoque!C:C,BDMovEstoque!A:A,Tabela3[[#This Row],[Código]],BDMovEstoque!G:G,"Entrada")-SUMIFS(BDMovEstoque!C:C,BDMovEstoque!A:A,Tabela3[[#This Row],[Código]],BDMovEstoque!G:G,"Saída")</f>
        <v>0</v>
      </c>
      <c r="G317" t="str">
        <f>IF(Tabela3[[#This Row],[Saldo Estoque]]&lt;Tabela3[[#This Row],[Estoque Mínimo]],"Sim","")</f>
        <v/>
      </c>
      <c r="H317" s="33">
        <f>Tabela3[[#This Row],[Saldo Estoque]]*Tabela3[[#This Row],[Valor]]</f>
        <v>0</v>
      </c>
    </row>
    <row r="318" spans="1:8" x14ac:dyDescent="0.35">
      <c r="A318" s="1">
        <v>317</v>
      </c>
      <c r="F318" s="9">
        <f>SUMIFS(BDMovEstoque!C:C,BDMovEstoque!A:A,Tabela3[[#This Row],[Código]],BDMovEstoque!G:G,"Entrada")-SUMIFS(BDMovEstoque!C:C,BDMovEstoque!A:A,Tabela3[[#This Row],[Código]],BDMovEstoque!G:G,"Saída")</f>
        <v>0</v>
      </c>
      <c r="G318" t="str">
        <f>IF(Tabela3[[#This Row],[Saldo Estoque]]&lt;Tabela3[[#This Row],[Estoque Mínimo]],"Sim","")</f>
        <v/>
      </c>
      <c r="H318" s="33">
        <f>Tabela3[[#This Row],[Saldo Estoque]]*Tabela3[[#This Row],[Valor]]</f>
        <v>0</v>
      </c>
    </row>
    <row r="319" spans="1:8" x14ac:dyDescent="0.35">
      <c r="A319" s="1">
        <v>318</v>
      </c>
      <c r="F319" s="9">
        <f>SUMIFS(BDMovEstoque!C:C,BDMovEstoque!A:A,Tabela3[[#This Row],[Código]],BDMovEstoque!G:G,"Entrada")-SUMIFS(BDMovEstoque!C:C,BDMovEstoque!A:A,Tabela3[[#This Row],[Código]],BDMovEstoque!G:G,"Saída")</f>
        <v>0</v>
      </c>
      <c r="G319" t="str">
        <f>IF(Tabela3[[#This Row],[Saldo Estoque]]&lt;Tabela3[[#This Row],[Estoque Mínimo]],"Sim","")</f>
        <v/>
      </c>
      <c r="H319" s="33">
        <f>Tabela3[[#This Row],[Saldo Estoque]]*Tabela3[[#This Row],[Valor]]</f>
        <v>0</v>
      </c>
    </row>
    <row r="320" spans="1:8" x14ac:dyDescent="0.35">
      <c r="A320" s="1">
        <v>319</v>
      </c>
      <c r="F320" s="9">
        <f>SUMIFS(BDMovEstoque!C:C,BDMovEstoque!A:A,Tabela3[[#This Row],[Código]],BDMovEstoque!G:G,"Entrada")-SUMIFS(BDMovEstoque!C:C,BDMovEstoque!A:A,Tabela3[[#This Row],[Código]],BDMovEstoque!G:G,"Saída")</f>
        <v>0</v>
      </c>
      <c r="G320" t="str">
        <f>IF(Tabela3[[#This Row],[Saldo Estoque]]&lt;Tabela3[[#This Row],[Estoque Mínimo]],"Sim","")</f>
        <v/>
      </c>
      <c r="H320" s="33">
        <f>Tabela3[[#This Row],[Saldo Estoque]]*Tabela3[[#This Row],[Valor]]</f>
        <v>0</v>
      </c>
    </row>
    <row r="321" spans="1:8" x14ac:dyDescent="0.35">
      <c r="A321" s="1">
        <v>320</v>
      </c>
      <c r="F321" s="9">
        <f>SUMIFS(BDMovEstoque!C:C,BDMovEstoque!A:A,Tabela3[[#This Row],[Código]],BDMovEstoque!G:G,"Entrada")-SUMIFS(BDMovEstoque!C:C,BDMovEstoque!A:A,Tabela3[[#This Row],[Código]],BDMovEstoque!G:G,"Saída")</f>
        <v>0</v>
      </c>
      <c r="G321" t="str">
        <f>IF(Tabela3[[#This Row],[Saldo Estoque]]&lt;Tabela3[[#This Row],[Estoque Mínimo]],"Sim","")</f>
        <v/>
      </c>
      <c r="H321" s="33">
        <f>Tabela3[[#This Row],[Saldo Estoque]]*Tabela3[[#This Row],[Valor]]</f>
        <v>0</v>
      </c>
    </row>
    <row r="322" spans="1:8" x14ac:dyDescent="0.35">
      <c r="A322" s="1">
        <v>321</v>
      </c>
      <c r="F322" s="9">
        <f>SUMIFS(BDMovEstoque!C:C,BDMovEstoque!A:A,Tabela3[[#This Row],[Código]],BDMovEstoque!G:G,"Entrada")-SUMIFS(BDMovEstoque!C:C,BDMovEstoque!A:A,Tabela3[[#This Row],[Código]],BDMovEstoque!G:G,"Saída")</f>
        <v>0</v>
      </c>
      <c r="G322" t="str">
        <f>IF(Tabela3[[#This Row],[Saldo Estoque]]&lt;Tabela3[[#This Row],[Estoque Mínimo]],"Sim","")</f>
        <v/>
      </c>
      <c r="H322" s="33">
        <f>Tabela3[[#This Row],[Saldo Estoque]]*Tabela3[[#This Row],[Valor]]</f>
        <v>0</v>
      </c>
    </row>
    <row r="323" spans="1:8" x14ac:dyDescent="0.35">
      <c r="A323" s="1">
        <v>322</v>
      </c>
      <c r="F323" s="9">
        <f>SUMIFS(BDMovEstoque!C:C,BDMovEstoque!A:A,Tabela3[[#This Row],[Código]],BDMovEstoque!G:G,"Entrada")-SUMIFS(BDMovEstoque!C:C,BDMovEstoque!A:A,Tabela3[[#This Row],[Código]],BDMovEstoque!G:G,"Saída")</f>
        <v>0</v>
      </c>
      <c r="G323" t="str">
        <f>IF(Tabela3[[#This Row],[Saldo Estoque]]&lt;Tabela3[[#This Row],[Estoque Mínimo]],"Sim","")</f>
        <v/>
      </c>
      <c r="H323" s="33">
        <f>Tabela3[[#This Row],[Saldo Estoque]]*Tabela3[[#This Row],[Valor]]</f>
        <v>0</v>
      </c>
    </row>
    <row r="324" spans="1:8" x14ac:dyDescent="0.35">
      <c r="A324" s="1">
        <v>323</v>
      </c>
      <c r="F324" s="9">
        <f>SUMIFS(BDMovEstoque!C:C,BDMovEstoque!A:A,Tabela3[[#This Row],[Código]],BDMovEstoque!G:G,"Entrada")-SUMIFS(BDMovEstoque!C:C,BDMovEstoque!A:A,Tabela3[[#This Row],[Código]],BDMovEstoque!G:G,"Saída")</f>
        <v>0</v>
      </c>
      <c r="G324" t="str">
        <f>IF(Tabela3[[#This Row],[Saldo Estoque]]&lt;Tabela3[[#This Row],[Estoque Mínimo]],"Sim","")</f>
        <v/>
      </c>
      <c r="H324" s="33">
        <f>Tabela3[[#This Row],[Saldo Estoque]]*Tabela3[[#This Row],[Valor]]</f>
        <v>0</v>
      </c>
    </row>
    <row r="325" spans="1:8" x14ac:dyDescent="0.35">
      <c r="A325" s="1">
        <v>324</v>
      </c>
      <c r="F325" s="9">
        <f>SUMIFS(BDMovEstoque!C:C,BDMovEstoque!A:A,Tabela3[[#This Row],[Código]],BDMovEstoque!G:G,"Entrada")-SUMIFS(BDMovEstoque!C:C,BDMovEstoque!A:A,Tabela3[[#This Row],[Código]],BDMovEstoque!G:G,"Saída")</f>
        <v>0</v>
      </c>
      <c r="G325" t="str">
        <f>IF(Tabela3[[#This Row],[Saldo Estoque]]&lt;Tabela3[[#This Row],[Estoque Mínimo]],"Sim","")</f>
        <v/>
      </c>
      <c r="H325" s="33">
        <f>Tabela3[[#This Row],[Saldo Estoque]]*Tabela3[[#This Row],[Valor]]</f>
        <v>0</v>
      </c>
    </row>
    <row r="326" spans="1:8" x14ac:dyDescent="0.35">
      <c r="A326" s="1">
        <v>325</v>
      </c>
      <c r="F326" s="9">
        <f>SUMIFS(BDMovEstoque!C:C,BDMovEstoque!A:A,Tabela3[[#This Row],[Código]],BDMovEstoque!G:G,"Entrada")-SUMIFS(BDMovEstoque!C:C,BDMovEstoque!A:A,Tabela3[[#This Row],[Código]],BDMovEstoque!G:G,"Saída")</f>
        <v>0</v>
      </c>
      <c r="G326" t="str">
        <f>IF(Tabela3[[#This Row],[Saldo Estoque]]&lt;Tabela3[[#This Row],[Estoque Mínimo]],"Sim","")</f>
        <v/>
      </c>
      <c r="H326" s="33">
        <f>Tabela3[[#This Row],[Saldo Estoque]]*Tabela3[[#This Row],[Valor]]</f>
        <v>0</v>
      </c>
    </row>
    <row r="327" spans="1:8" x14ac:dyDescent="0.35">
      <c r="A327" s="1">
        <v>326</v>
      </c>
      <c r="F327" s="9">
        <f>SUMIFS(BDMovEstoque!C:C,BDMovEstoque!A:A,Tabela3[[#This Row],[Código]],BDMovEstoque!G:G,"Entrada")-SUMIFS(BDMovEstoque!C:C,BDMovEstoque!A:A,Tabela3[[#This Row],[Código]],BDMovEstoque!G:G,"Saída")</f>
        <v>0</v>
      </c>
      <c r="G327" t="str">
        <f>IF(Tabela3[[#This Row],[Saldo Estoque]]&lt;Tabela3[[#This Row],[Estoque Mínimo]],"Sim","")</f>
        <v/>
      </c>
      <c r="H327" s="33">
        <f>Tabela3[[#This Row],[Saldo Estoque]]*Tabela3[[#This Row],[Valor]]</f>
        <v>0</v>
      </c>
    </row>
    <row r="328" spans="1:8" x14ac:dyDescent="0.35">
      <c r="A328" s="1">
        <v>327</v>
      </c>
      <c r="F328" s="9">
        <f>SUMIFS(BDMovEstoque!C:C,BDMovEstoque!A:A,Tabela3[[#This Row],[Código]],BDMovEstoque!G:G,"Entrada")-SUMIFS(BDMovEstoque!C:C,BDMovEstoque!A:A,Tabela3[[#This Row],[Código]],BDMovEstoque!G:G,"Saída")</f>
        <v>0</v>
      </c>
      <c r="G328" t="str">
        <f>IF(Tabela3[[#This Row],[Saldo Estoque]]&lt;Tabela3[[#This Row],[Estoque Mínimo]],"Sim","")</f>
        <v/>
      </c>
      <c r="H328" s="33">
        <f>Tabela3[[#This Row],[Saldo Estoque]]*Tabela3[[#This Row],[Valor]]</f>
        <v>0</v>
      </c>
    </row>
    <row r="329" spans="1:8" x14ac:dyDescent="0.35">
      <c r="A329" s="1">
        <v>328</v>
      </c>
      <c r="F329" s="9">
        <f>SUMIFS(BDMovEstoque!C:C,BDMovEstoque!A:A,Tabela3[[#This Row],[Código]],BDMovEstoque!G:G,"Entrada")-SUMIFS(BDMovEstoque!C:C,BDMovEstoque!A:A,Tabela3[[#This Row],[Código]],BDMovEstoque!G:G,"Saída")</f>
        <v>0</v>
      </c>
      <c r="G329" t="str">
        <f>IF(Tabela3[[#This Row],[Saldo Estoque]]&lt;Tabela3[[#This Row],[Estoque Mínimo]],"Sim","")</f>
        <v/>
      </c>
      <c r="H329" s="33">
        <f>Tabela3[[#This Row],[Saldo Estoque]]*Tabela3[[#This Row],[Valor]]</f>
        <v>0</v>
      </c>
    </row>
    <row r="330" spans="1:8" x14ac:dyDescent="0.35">
      <c r="A330" s="1">
        <v>329</v>
      </c>
      <c r="F330" s="9">
        <f>SUMIFS(BDMovEstoque!C:C,BDMovEstoque!A:A,Tabela3[[#This Row],[Código]],BDMovEstoque!G:G,"Entrada")-SUMIFS(BDMovEstoque!C:C,BDMovEstoque!A:A,Tabela3[[#This Row],[Código]],BDMovEstoque!G:G,"Saída")</f>
        <v>0</v>
      </c>
      <c r="G330" t="str">
        <f>IF(Tabela3[[#This Row],[Saldo Estoque]]&lt;Tabela3[[#This Row],[Estoque Mínimo]],"Sim","")</f>
        <v/>
      </c>
      <c r="H330" s="33">
        <f>Tabela3[[#This Row],[Saldo Estoque]]*Tabela3[[#This Row],[Valor]]</f>
        <v>0</v>
      </c>
    </row>
    <row r="331" spans="1:8" x14ac:dyDescent="0.35">
      <c r="A331" s="1">
        <v>330</v>
      </c>
      <c r="F331" s="9">
        <f>SUMIFS(BDMovEstoque!C:C,BDMovEstoque!A:A,Tabela3[[#This Row],[Código]],BDMovEstoque!G:G,"Entrada")-SUMIFS(BDMovEstoque!C:C,BDMovEstoque!A:A,Tabela3[[#This Row],[Código]],BDMovEstoque!G:G,"Saída")</f>
        <v>0</v>
      </c>
      <c r="G331" t="str">
        <f>IF(Tabela3[[#This Row],[Saldo Estoque]]&lt;Tabela3[[#This Row],[Estoque Mínimo]],"Sim","")</f>
        <v/>
      </c>
      <c r="H331" s="33">
        <f>Tabela3[[#This Row],[Saldo Estoque]]*Tabela3[[#This Row],[Valor]]</f>
        <v>0</v>
      </c>
    </row>
    <row r="332" spans="1:8" x14ac:dyDescent="0.35">
      <c r="A332" s="1">
        <v>331</v>
      </c>
      <c r="F332" s="9">
        <f>SUMIFS(BDMovEstoque!C:C,BDMovEstoque!A:A,Tabela3[[#This Row],[Código]],BDMovEstoque!G:G,"Entrada")-SUMIFS(BDMovEstoque!C:C,BDMovEstoque!A:A,Tabela3[[#This Row],[Código]],BDMovEstoque!G:G,"Saída")</f>
        <v>0</v>
      </c>
      <c r="G332" t="str">
        <f>IF(Tabela3[[#This Row],[Saldo Estoque]]&lt;Tabela3[[#This Row],[Estoque Mínimo]],"Sim","")</f>
        <v/>
      </c>
      <c r="H332" s="33">
        <f>Tabela3[[#This Row],[Saldo Estoque]]*Tabela3[[#This Row],[Valor]]</f>
        <v>0</v>
      </c>
    </row>
    <row r="333" spans="1:8" x14ac:dyDescent="0.35">
      <c r="A333" s="1">
        <v>332</v>
      </c>
      <c r="F333" s="9">
        <f>SUMIFS(BDMovEstoque!C:C,BDMovEstoque!A:A,Tabela3[[#This Row],[Código]],BDMovEstoque!G:G,"Entrada")-SUMIFS(BDMovEstoque!C:C,BDMovEstoque!A:A,Tabela3[[#This Row],[Código]],BDMovEstoque!G:G,"Saída")</f>
        <v>0</v>
      </c>
      <c r="G333" t="str">
        <f>IF(Tabela3[[#This Row],[Saldo Estoque]]&lt;Tabela3[[#This Row],[Estoque Mínimo]],"Sim","")</f>
        <v/>
      </c>
      <c r="H333" s="33">
        <f>Tabela3[[#This Row],[Saldo Estoque]]*Tabela3[[#This Row],[Valor]]</f>
        <v>0</v>
      </c>
    </row>
    <row r="334" spans="1:8" x14ac:dyDescent="0.35">
      <c r="A334" s="1">
        <v>333</v>
      </c>
      <c r="F334" s="9">
        <f>SUMIFS(BDMovEstoque!C:C,BDMovEstoque!A:A,Tabela3[[#This Row],[Código]],BDMovEstoque!G:G,"Entrada")-SUMIFS(BDMovEstoque!C:C,BDMovEstoque!A:A,Tabela3[[#This Row],[Código]],BDMovEstoque!G:G,"Saída")</f>
        <v>0</v>
      </c>
      <c r="G334" t="str">
        <f>IF(Tabela3[[#This Row],[Saldo Estoque]]&lt;Tabela3[[#This Row],[Estoque Mínimo]],"Sim","")</f>
        <v/>
      </c>
      <c r="H334" s="33">
        <f>Tabela3[[#This Row],[Saldo Estoque]]*Tabela3[[#This Row],[Valor]]</f>
        <v>0</v>
      </c>
    </row>
    <row r="335" spans="1:8" x14ac:dyDescent="0.35">
      <c r="A335" s="1">
        <v>334</v>
      </c>
      <c r="F335" s="9">
        <f>SUMIFS(BDMovEstoque!C:C,BDMovEstoque!A:A,Tabela3[[#This Row],[Código]],BDMovEstoque!G:G,"Entrada")-SUMIFS(BDMovEstoque!C:C,BDMovEstoque!A:A,Tabela3[[#This Row],[Código]],BDMovEstoque!G:G,"Saída")</f>
        <v>0</v>
      </c>
      <c r="G335" t="str">
        <f>IF(Tabela3[[#This Row],[Saldo Estoque]]&lt;Tabela3[[#This Row],[Estoque Mínimo]],"Sim","")</f>
        <v/>
      </c>
      <c r="H335" s="33">
        <f>Tabela3[[#This Row],[Saldo Estoque]]*Tabela3[[#This Row],[Valor]]</f>
        <v>0</v>
      </c>
    </row>
    <row r="336" spans="1:8" x14ac:dyDescent="0.35">
      <c r="A336" s="1">
        <v>335</v>
      </c>
      <c r="F336" s="9">
        <f>SUMIFS(BDMovEstoque!C:C,BDMovEstoque!A:A,Tabela3[[#This Row],[Código]],BDMovEstoque!G:G,"Entrada")-SUMIFS(BDMovEstoque!C:C,BDMovEstoque!A:A,Tabela3[[#This Row],[Código]],BDMovEstoque!G:G,"Saída")</f>
        <v>0</v>
      </c>
      <c r="G336" t="str">
        <f>IF(Tabela3[[#This Row],[Saldo Estoque]]&lt;Tabela3[[#This Row],[Estoque Mínimo]],"Sim","")</f>
        <v/>
      </c>
      <c r="H336" s="33">
        <f>Tabela3[[#This Row],[Saldo Estoque]]*Tabela3[[#This Row],[Valor]]</f>
        <v>0</v>
      </c>
    </row>
    <row r="337" spans="1:8" x14ac:dyDescent="0.35">
      <c r="A337" s="1">
        <v>336</v>
      </c>
      <c r="F337" s="9">
        <f>SUMIFS(BDMovEstoque!C:C,BDMovEstoque!A:A,Tabela3[[#This Row],[Código]],BDMovEstoque!G:G,"Entrada")-SUMIFS(BDMovEstoque!C:C,BDMovEstoque!A:A,Tabela3[[#This Row],[Código]],BDMovEstoque!G:G,"Saída")</f>
        <v>0</v>
      </c>
      <c r="G337" t="str">
        <f>IF(Tabela3[[#This Row],[Saldo Estoque]]&lt;Tabela3[[#This Row],[Estoque Mínimo]],"Sim","")</f>
        <v/>
      </c>
      <c r="H337" s="33">
        <f>Tabela3[[#This Row],[Saldo Estoque]]*Tabela3[[#This Row],[Valor]]</f>
        <v>0</v>
      </c>
    </row>
    <row r="338" spans="1:8" x14ac:dyDescent="0.35">
      <c r="A338" s="1">
        <v>337</v>
      </c>
      <c r="F338" s="9">
        <f>SUMIFS(BDMovEstoque!C:C,BDMovEstoque!A:A,Tabela3[[#This Row],[Código]],BDMovEstoque!G:G,"Entrada")-SUMIFS(BDMovEstoque!C:C,BDMovEstoque!A:A,Tabela3[[#This Row],[Código]],BDMovEstoque!G:G,"Saída")</f>
        <v>0</v>
      </c>
      <c r="G338" t="str">
        <f>IF(Tabela3[[#This Row],[Saldo Estoque]]&lt;Tabela3[[#This Row],[Estoque Mínimo]],"Sim","")</f>
        <v/>
      </c>
      <c r="H338" s="33">
        <f>Tabela3[[#This Row],[Saldo Estoque]]*Tabela3[[#This Row],[Valor]]</f>
        <v>0</v>
      </c>
    </row>
    <row r="339" spans="1:8" x14ac:dyDescent="0.35">
      <c r="A339" s="1">
        <v>338</v>
      </c>
      <c r="F339" s="9">
        <f>SUMIFS(BDMovEstoque!C:C,BDMovEstoque!A:A,Tabela3[[#This Row],[Código]],BDMovEstoque!G:G,"Entrada")-SUMIFS(BDMovEstoque!C:C,BDMovEstoque!A:A,Tabela3[[#This Row],[Código]],BDMovEstoque!G:G,"Saída")</f>
        <v>0</v>
      </c>
      <c r="G339" t="str">
        <f>IF(Tabela3[[#This Row],[Saldo Estoque]]&lt;Tabela3[[#This Row],[Estoque Mínimo]],"Sim","")</f>
        <v/>
      </c>
      <c r="H339" s="33">
        <f>Tabela3[[#This Row],[Saldo Estoque]]*Tabela3[[#This Row],[Valor]]</f>
        <v>0</v>
      </c>
    </row>
    <row r="340" spans="1:8" x14ac:dyDescent="0.35">
      <c r="A340" s="1">
        <v>339</v>
      </c>
      <c r="F340" s="9">
        <f>SUMIFS(BDMovEstoque!C:C,BDMovEstoque!A:A,Tabela3[[#This Row],[Código]],BDMovEstoque!G:G,"Entrada")-SUMIFS(BDMovEstoque!C:C,BDMovEstoque!A:A,Tabela3[[#This Row],[Código]],BDMovEstoque!G:G,"Saída")</f>
        <v>0</v>
      </c>
      <c r="G340" t="str">
        <f>IF(Tabela3[[#This Row],[Saldo Estoque]]&lt;Tabela3[[#This Row],[Estoque Mínimo]],"Sim","")</f>
        <v/>
      </c>
      <c r="H340" s="33">
        <f>Tabela3[[#This Row],[Saldo Estoque]]*Tabela3[[#This Row],[Valor]]</f>
        <v>0</v>
      </c>
    </row>
    <row r="341" spans="1:8" x14ac:dyDescent="0.35">
      <c r="A341" s="1">
        <v>340</v>
      </c>
      <c r="F341" s="9">
        <f>SUMIFS(BDMovEstoque!C:C,BDMovEstoque!A:A,Tabela3[[#This Row],[Código]],BDMovEstoque!G:G,"Entrada")-SUMIFS(BDMovEstoque!C:C,BDMovEstoque!A:A,Tabela3[[#This Row],[Código]],BDMovEstoque!G:G,"Saída")</f>
        <v>0</v>
      </c>
      <c r="G341" t="str">
        <f>IF(Tabela3[[#This Row],[Saldo Estoque]]&lt;Tabela3[[#This Row],[Estoque Mínimo]],"Sim","")</f>
        <v/>
      </c>
      <c r="H341" s="33">
        <f>Tabela3[[#This Row],[Saldo Estoque]]*Tabela3[[#This Row],[Valor]]</f>
        <v>0</v>
      </c>
    </row>
    <row r="342" spans="1:8" x14ac:dyDescent="0.35">
      <c r="A342" s="1">
        <v>341</v>
      </c>
      <c r="F342" s="9">
        <f>SUMIFS(BDMovEstoque!C:C,BDMovEstoque!A:A,Tabela3[[#This Row],[Código]],BDMovEstoque!G:G,"Entrada")-SUMIFS(BDMovEstoque!C:C,BDMovEstoque!A:A,Tabela3[[#This Row],[Código]],BDMovEstoque!G:G,"Saída")</f>
        <v>0</v>
      </c>
      <c r="G342" t="str">
        <f>IF(Tabela3[[#This Row],[Saldo Estoque]]&lt;Tabela3[[#This Row],[Estoque Mínimo]],"Sim","")</f>
        <v/>
      </c>
      <c r="H342" s="33">
        <f>Tabela3[[#This Row],[Saldo Estoque]]*Tabela3[[#This Row],[Valor]]</f>
        <v>0</v>
      </c>
    </row>
    <row r="343" spans="1:8" x14ac:dyDescent="0.35">
      <c r="A343" s="1">
        <v>342</v>
      </c>
      <c r="F343" s="9">
        <f>SUMIFS(BDMovEstoque!C:C,BDMovEstoque!A:A,Tabela3[[#This Row],[Código]],BDMovEstoque!G:G,"Entrada")-SUMIFS(BDMovEstoque!C:C,BDMovEstoque!A:A,Tabela3[[#This Row],[Código]],BDMovEstoque!G:G,"Saída")</f>
        <v>0</v>
      </c>
      <c r="G343" t="str">
        <f>IF(Tabela3[[#This Row],[Saldo Estoque]]&lt;Tabela3[[#This Row],[Estoque Mínimo]],"Sim","")</f>
        <v/>
      </c>
      <c r="H343" s="33">
        <f>Tabela3[[#This Row],[Saldo Estoque]]*Tabela3[[#This Row],[Valor]]</f>
        <v>0</v>
      </c>
    </row>
    <row r="344" spans="1:8" x14ac:dyDescent="0.35">
      <c r="A344" s="1">
        <v>343</v>
      </c>
      <c r="F344" s="9">
        <f>SUMIFS(BDMovEstoque!C:C,BDMovEstoque!A:A,Tabela3[[#This Row],[Código]],BDMovEstoque!G:G,"Entrada")-SUMIFS(BDMovEstoque!C:C,BDMovEstoque!A:A,Tabela3[[#This Row],[Código]],BDMovEstoque!G:G,"Saída")</f>
        <v>0</v>
      </c>
      <c r="G344" t="str">
        <f>IF(Tabela3[[#This Row],[Saldo Estoque]]&lt;Tabela3[[#This Row],[Estoque Mínimo]],"Sim","")</f>
        <v/>
      </c>
      <c r="H344" s="33">
        <f>Tabela3[[#This Row],[Saldo Estoque]]*Tabela3[[#This Row],[Valor]]</f>
        <v>0</v>
      </c>
    </row>
    <row r="345" spans="1:8" x14ac:dyDescent="0.35">
      <c r="A345" s="1">
        <v>344</v>
      </c>
      <c r="F345" s="9">
        <f>SUMIFS(BDMovEstoque!C:C,BDMovEstoque!A:A,Tabela3[[#This Row],[Código]],BDMovEstoque!G:G,"Entrada")-SUMIFS(BDMovEstoque!C:C,BDMovEstoque!A:A,Tabela3[[#This Row],[Código]],BDMovEstoque!G:G,"Saída")</f>
        <v>0</v>
      </c>
      <c r="G345" t="str">
        <f>IF(Tabela3[[#This Row],[Saldo Estoque]]&lt;Tabela3[[#This Row],[Estoque Mínimo]],"Sim","")</f>
        <v/>
      </c>
      <c r="H345" s="33">
        <f>Tabela3[[#This Row],[Saldo Estoque]]*Tabela3[[#This Row],[Valor]]</f>
        <v>0</v>
      </c>
    </row>
    <row r="346" spans="1:8" x14ac:dyDescent="0.35">
      <c r="A346" s="1">
        <v>345</v>
      </c>
      <c r="F346" s="9">
        <f>SUMIFS(BDMovEstoque!C:C,BDMovEstoque!A:A,Tabela3[[#This Row],[Código]],BDMovEstoque!G:G,"Entrada")-SUMIFS(BDMovEstoque!C:C,BDMovEstoque!A:A,Tabela3[[#This Row],[Código]],BDMovEstoque!G:G,"Saída")</f>
        <v>0</v>
      </c>
      <c r="G346" t="str">
        <f>IF(Tabela3[[#This Row],[Saldo Estoque]]&lt;Tabela3[[#This Row],[Estoque Mínimo]],"Sim","")</f>
        <v/>
      </c>
      <c r="H346" s="33">
        <f>Tabela3[[#This Row],[Saldo Estoque]]*Tabela3[[#This Row],[Valor]]</f>
        <v>0</v>
      </c>
    </row>
    <row r="347" spans="1:8" x14ac:dyDescent="0.35">
      <c r="A347" s="1">
        <v>346</v>
      </c>
      <c r="F347" s="9">
        <f>SUMIFS(BDMovEstoque!C:C,BDMovEstoque!A:A,Tabela3[[#This Row],[Código]],BDMovEstoque!G:G,"Entrada")-SUMIFS(BDMovEstoque!C:C,BDMovEstoque!A:A,Tabela3[[#This Row],[Código]],BDMovEstoque!G:G,"Saída")</f>
        <v>0</v>
      </c>
      <c r="G347" t="str">
        <f>IF(Tabela3[[#This Row],[Saldo Estoque]]&lt;Tabela3[[#This Row],[Estoque Mínimo]],"Sim","")</f>
        <v/>
      </c>
      <c r="H347" s="33">
        <f>Tabela3[[#This Row],[Saldo Estoque]]*Tabela3[[#This Row],[Valor]]</f>
        <v>0</v>
      </c>
    </row>
    <row r="348" spans="1:8" x14ac:dyDescent="0.35">
      <c r="A348" s="1">
        <v>347</v>
      </c>
      <c r="F348" s="9">
        <f>SUMIFS(BDMovEstoque!C:C,BDMovEstoque!A:A,Tabela3[[#This Row],[Código]],BDMovEstoque!G:G,"Entrada")-SUMIFS(BDMovEstoque!C:C,BDMovEstoque!A:A,Tabela3[[#This Row],[Código]],BDMovEstoque!G:G,"Saída")</f>
        <v>0</v>
      </c>
      <c r="G348" t="str">
        <f>IF(Tabela3[[#This Row],[Saldo Estoque]]&lt;Tabela3[[#This Row],[Estoque Mínimo]],"Sim","")</f>
        <v/>
      </c>
      <c r="H348" s="33">
        <f>Tabela3[[#This Row],[Saldo Estoque]]*Tabela3[[#This Row],[Valor]]</f>
        <v>0</v>
      </c>
    </row>
    <row r="349" spans="1:8" x14ac:dyDescent="0.35">
      <c r="A349" s="1">
        <v>348</v>
      </c>
      <c r="F349" s="9">
        <f>SUMIFS(BDMovEstoque!C:C,BDMovEstoque!A:A,Tabela3[[#This Row],[Código]],BDMovEstoque!G:G,"Entrada")-SUMIFS(BDMovEstoque!C:C,BDMovEstoque!A:A,Tabela3[[#This Row],[Código]],BDMovEstoque!G:G,"Saída")</f>
        <v>0</v>
      </c>
      <c r="G349" t="str">
        <f>IF(Tabela3[[#This Row],[Saldo Estoque]]&lt;Tabela3[[#This Row],[Estoque Mínimo]],"Sim","")</f>
        <v/>
      </c>
      <c r="H349" s="33">
        <f>Tabela3[[#This Row],[Saldo Estoque]]*Tabela3[[#This Row],[Valor]]</f>
        <v>0</v>
      </c>
    </row>
    <row r="350" spans="1:8" x14ac:dyDescent="0.35">
      <c r="A350" s="1">
        <v>349</v>
      </c>
      <c r="F350" s="9">
        <f>SUMIFS(BDMovEstoque!C:C,BDMovEstoque!A:A,Tabela3[[#This Row],[Código]],BDMovEstoque!G:G,"Entrada")-SUMIFS(BDMovEstoque!C:C,BDMovEstoque!A:A,Tabela3[[#This Row],[Código]],BDMovEstoque!G:G,"Saída")</f>
        <v>0</v>
      </c>
      <c r="G350" t="str">
        <f>IF(Tabela3[[#This Row],[Saldo Estoque]]&lt;Tabela3[[#This Row],[Estoque Mínimo]],"Sim","")</f>
        <v/>
      </c>
      <c r="H350" s="33">
        <f>Tabela3[[#This Row],[Saldo Estoque]]*Tabela3[[#This Row],[Valor]]</f>
        <v>0</v>
      </c>
    </row>
    <row r="351" spans="1:8" x14ac:dyDescent="0.35">
      <c r="A351" s="1">
        <v>350</v>
      </c>
      <c r="F351" s="9">
        <f>SUMIFS(BDMovEstoque!C:C,BDMovEstoque!A:A,Tabela3[[#This Row],[Código]],BDMovEstoque!G:G,"Entrada")-SUMIFS(BDMovEstoque!C:C,BDMovEstoque!A:A,Tabela3[[#This Row],[Código]],BDMovEstoque!G:G,"Saída")</f>
        <v>0</v>
      </c>
      <c r="G351" t="str">
        <f>IF(Tabela3[[#This Row],[Saldo Estoque]]&lt;Tabela3[[#This Row],[Estoque Mínimo]],"Sim","")</f>
        <v/>
      </c>
      <c r="H351" s="33">
        <f>Tabela3[[#This Row],[Saldo Estoque]]*Tabela3[[#This Row],[Valor]]</f>
        <v>0</v>
      </c>
    </row>
    <row r="352" spans="1:8" x14ac:dyDescent="0.35">
      <c r="A352" s="1">
        <v>351</v>
      </c>
      <c r="F352" s="9">
        <f>SUMIFS(BDMovEstoque!C:C,BDMovEstoque!A:A,Tabela3[[#This Row],[Código]],BDMovEstoque!G:G,"Entrada")-SUMIFS(BDMovEstoque!C:C,BDMovEstoque!A:A,Tabela3[[#This Row],[Código]],BDMovEstoque!G:G,"Saída")</f>
        <v>0</v>
      </c>
      <c r="G352" t="str">
        <f>IF(Tabela3[[#This Row],[Saldo Estoque]]&lt;Tabela3[[#This Row],[Estoque Mínimo]],"Sim","")</f>
        <v/>
      </c>
      <c r="H352" s="33">
        <f>Tabela3[[#This Row],[Saldo Estoque]]*Tabela3[[#This Row],[Valor]]</f>
        <v>0</v>
      </c>
    </row>
    <row r="353" spans="1:8" x14ac:dyDescent="0.35">
      <c r="A353" s="1">
        <v>352</v>
      </c>
      <c r="F353" s="9">
        <f>SUMIFS(BDMovEstoque!C:C,BDMovEstoque!A:A,Tabela3[[#This Row],[Código]],BDMovEstoque!G:G,"Entrada")-SUMIFS(BDMovEstoque!C:C,BDMovEstoque!A:A,Tabela3[[#This Row],[Código]],BDMovEstoque!G:G,"Saída")</f>
        <v>0</v>
      </c>
      <c r="G353" t="str">
        <f>IF(Tabela3[[#This Row],[Saldo Estoque]]&lt;Tabela3[[#This Row],[Estoque Mínimo]],"Sim","")</f>
        <v/>
      </c>
      <c r="H353" s="33">
        <f>Tabela3[[#This Row],[Saldo Estoque]]*Tabela3[[#This Row],[Valor]]</f>
        <v>0</v>
      </c>
    </row>
    <row r="354" spans="1:8" x14ac:dyDescent="0.35">
      <c r="A354" s="1">
        <v>353</v>
      </c>
      <c r="F354" s="9">
        <f>SUMIFS(BDMovEstoque!C:C,BDMovEstoque!A:A,Tabela3[[#This Row],[Código]],BDMovEstoque!G:G,"Entrada")-SUMIFS(BDMovEstoque!C:C,BDMovEstoque!A:A,Tabela3[[#This Row],[Código]],BDMovEstoque!G:G,"Saída")</f>
        <v>0</v>
      </c>
      <c r="G354" t="str">
        <f>IF(Tabela3[[#This Row],[Saldo Estoque]]&lt;Tabela3[[#This Row],[Estoque Mínimo]],"Sim","")</f>
        <v/>
      </c>
      <c r="H354" s="33">
        <f>Tabela3[[#This Row],[Saldo Estoque]]*Tabela3[[#This Row],[Valor]]</f>
        <v>0</v>
      </c>
    </row>
    <row r="355" spans="1:8" x14ac:dyDescent="0.35">
      <c r="A355" s="1">
        <v>354</v>
      </c>
      <c r="F355" s="9">
        <f>SUMIFS(BDMovEstoque!C:C,BDMovEstoque!A:A,Tabela3[[#This Row],[Código]],BDMovEstoque!G:G,"Entrada")-SUMIFS(BDMovEstoque!C:C,BDMovEstoque!A:A,Tabela3[[#This Row],[Código]],BDMovEstoque!G:G,"Saída")</f>
        <v>0</v>
      </c>
      <c r="G355" t="str">
        <f>IF(Tabela3[[#This Row],[Saldo Estoque]]&lt;Tabela3[[#This Row],[Estoque Mínimo]],"Sim","")</f>
        <v/>
      </c>
      <c r="H355" s="33">
        <f>Tabela3[[#This Row],[Saldo Estoque]]*Tabela3[[#This Row],[Valor]]</f>
        <v>0</v>
      </c>
    </row>
    <row r="356" spans="1:8" x14ac:dyDescent="0.35">
      <c r="A356" s="1">
        <v>355</v>
      </c>
      <c r="F356" s="9">
        <f>SUMIFS(BDMovEstoque!C:C,BDMovEstoque!A:A,Tabela3[[#This Row],[Código]],BDMovEstoque!G:G,"Entrada")-SUMIFS(BDMovEstoque!C:C,BDMovEstoque!A:A,Tabela3[[#This Row],[Código]],BDMovEstoque!G:G,"Saída")</f>
        <v>0</v>
      </c>
      <c r="G356" t="str">
        <f>IF(Tabela3[[#This Row],[Saldo Estoque]]&lt;Tabela3[[#This Row],[Estoque Mínimo]],"Sim","")</f>
        <v/>
      </c>
      <c r="H356" s="33">
        <f>Tabela3[[#This Row],[Saldo Estoque]]*Tabela3[[#This Row],[Valor]]</f>
        <v>0</v>
      </c>
    </row>
    <row r="357" spans="1:8" x14ac:dyDescent="0.35">
      <c r="A357" s="1">
        <v>356</v>
      </c>
      <c r="F357" s="9">
        <f>SUMIFS(BDMovEstoque!C:C,BDMovEstoque!A:A,Tabela3[[#This Row],[Código]],BDMovEstoque!G:G,"Entrada")-SUMIFS(BDMovEstoque!C:C,BDMovEstoque!A:A,Tabela3[[#This Row],[Código]],BDMovEstoque!G:G,"Saída")</f>
        <v>0</v>
      </c>
      <c r="G357" t="str">
        <f>IF(Tabela3[[#This Row],[Saldo Estoque]]&lt;Tabela3[[#This Row],[Estoque Mínimo]],"Sim","")</f>
        <v/>
      </c>
      <c r="H357" s="33">
        <f>Tabela3[[#This Row],[Saldo Estoque]]*Tabela3[[#This Row],[Valor]]</f>
        <v>0</v>
      </c>
    </row>
    <row r="358" spans="1:8" x14ac:dyDescent="0.35">
      <c r="A358" s="1">
        <v>357</v>
      </c>
      <c r="F358" s="9">
        <f>SUMIFS(BDMovEstoque!C:C,BDMovEstoque!A:A,Tabela3[[#This Row],[Código]],BDMovEstoque!G:G,"Entrada")-SUMIFS(BDMovEstoque!C:C,BDMovEstoque!A:A,Tabela3[[#This Row],[Código]],BDMovEstoque!G:G,"Saída")</f>
        <v>0</v>
      </c>
      <c r="G358" t="str">
        <f>IF(Tabela3[[#This Row],[Saldo Estoque]]&lt;Tabela3[[#This Row],[Estoque Mínimo]],"Sim","")</f>
        <v/>
      </c>
      <c r="H358" s="33">
        <f>Tabela3[[#This Row],[Saldo Estoque]]*Tabela3[[#This Row],[Valor]]</f>
        <v>0</v>
      </c>
    </row>
    <row r="359" spans="1:8" x14ac:dyDescent="0.35">
      <c r="A359" s="1">
        <v>358</v>
      </c>
      <c r="F359" s="9">
        <f>SUMIFS(BDMovEstoque!C:C,BDMovEstoque!A:A,Tabela3[[#This Row],[Código]],BDMovEstoque!G:G,"Entrada")-SUMIFS(BDMovEstoque!C:C,BDMovEstoque!A:A,Tabela3[[#This Row],[Código]],BDMovEstoque!G:G,"Saída")</f>
        <v>0</v>
      </c>
      <c r="G359" t="str">
        <f>IF(Tabela3[[#This Row],[Saldo Estoque]]&lt;Tabela3[[#This Row],[Estoque Mínimo]],"Sim","")</f>
        <v/>
      </c>
      <c r="H359" s="33">
        <f>Tabela3[[#This Row],[Saldo Estoque]]*Tabela3[[#This Row],[Valor]]</f>
        <v>0</v>
      </c>
    </row>
    <row r="360" spans="1:8" x14ac:dyDescent="0.35">
      <c r="A360" s="1">
        <v>359</v>
      </c>
      <c r="F360" s="9">
        <f>SUMIFS(BDMovEstoque!C:C,BDMovEstoque!A:A,Tabela3[[#This Row],[Código]],BDMovEstoque!G:G,"Entrada")-SUMIFS(BDMovEstoque!C:C,BDMovEstoque!A:A,Tabela3[[#This Row],[Código]],BDMovEstoque!G:G,"Saída")</f>
        <v>0</v>
      </c>
      <c r="G360" t="str">
        <f>IF(Tabela3[[#This Row],[Saldo Estoque]]&lt;Tabela3[[#This Row],[Estoque Mínimo]],"Sim","")</f>
        <v/>
      </c>
      <c r="H360" s="33">
        <f>Tabela3[[#This Row],[Saldo Estoque]]*Tabela3[[#This Row],[Valor]]</f>
        <v>0</v>
      </c>
    </row>
    <row r="361" spans="1:8" x14ac:dyDescent="0.35">
      <c r="A361" s="1">
        <v>360</v>
      </c>
      <c r="F361" s="9">
        <f>SUMIFS(BDMovEstoque!C:C,BDMovEstoque!A:A,Tabela3[[#This Row],[Código]],BDMovEstoque!G:G,"Entrada")-SUMIFS(BDMovEstoque!C:C,BDMovEstoque!A:A,Tabela3[[#This Row],[Código]],BDMovEstoque!G:G,"Saída")</f>
        <v>0</v>
      </c>
      <c r="G361" t="str">
        <f>IF(Tabela3[[#This Row],[Saldo Estoque]]&lt;Tabela3[[#This Row],[Estoque Mínimo]],"Sim","")</f>
        <v/>
      </c>
      <c r="H361" s="33">
        <f>Tabela3[[#This Row],[Saldo Estoque]]*Tabela3[[#This Row],[Valor]]</f>
        <v>0</v>
      </c>
    </row>
    <row r="362" spans="1:8" x14ac:dyDescent="0.35">
      <c r="A362" s="1">
        <v>361</v>
      </c>
      <c r="F362" s="9">
        <f>SUMIFS(BDMovEstoque!C:C,BDMovEstoque!A:A,Tabela3[[#This Row],[Código]],BDMovEstoque!G:G,"Entrada")-SUMIFS(BDMovEstoque!C:C,BDMovEstoque!A:A,Tabela3[[#This Row],[Código]],BDMovEstoque!G:G,"Saída")</f>
        <v>0</v>
      </c>
      <c r="G362" t="str">
        <f>IF(Tabela3[[#This Row],[Saldo Estoque]]&lt;Tabela3[[#This Row],[Estoque Mínimo]],"Sim","")</f>
        <v/>
      </c>
      <c r="H362" s="33">
        <f>Tabela3[[#This Row],[Saldo Estoque]]*Tabela3[[#This Row],[Valor]]</f>
        <v>0</v>
      </c>
    </row>
    <row r="363" spans="1:8" x14ac:dyDescent="0.35">
      <c r="A363" s="1">
        <v>362</v>
      </c>
      <c r="F363" s="9">
        <f>SUMIFS(BDMovEstoque!C:C,BDMovEstoque!A:A,Tabela3[[#This Row],[Código]],BDMovEstoque!G:G,"Entrada")-SUMIFS(BDMovEstoque!C:C,BDMovEstoque!A:A,Tabela3[[#This Row],[Código]],BDMovEstoque!G:G,"Saída")</f>
        <v>0</v>
      </c>
      <c r="G363" t="str">
        <f>IF(Tabela3[[#This Row],[Saldo Estoque]]&lt;Tabela3[[#This Row],[Estoque Mínimo]],"Sim","")</f>
        <v/>
      </c>
      <c r="H363" s="33">
        <f>Tabela3[[#This Row],[Saldo Estoque]]*Tabela3[[#This Row],[Valor]]</f>
        <v>0</v>
      </c>
    </row>
    <row r="364" spans="1:8" x14ac:dyDescent="0.35">
      <c r="A364" s="1">
        <v>363</v>
      </c>
      <c r="F364" s="9">
        <f>SUMIFS(BDMovEstoque!C:C,BDMovEstoque!A:A,Tabela3[[#This Row],[Código]],BDMovEstoque!G:G,"Entrada")-SUMIFS(BDMovEstoque!C:C,BDMovEstoque!A:A,Tabela3[[#This Row],[Código]],BDMovEstoque!G:G,"Saída")</f>
        <v>0</v>
      </c>
      <c r="G364" t="str">
        <f>IF(Tabela3[[#This Row],[Saldo Estoque]]&lt;Tabela3[[#This Row],[Estoque Mínimo]],"Sim","")</f>
        <v/>
      </c>
      <c r="H364" s="33">
        <f>Tabela3[[#This Row],[Saldo Estoque]]*Tabela3[[#This Row],[Valor]]</f>
        <v>0</v>
      </c>
    </row>
    <row r="365" spans="1:8" x14ac:dyDescent="0.35">
      <c r="A365" s="1">
        <v>364</v>
      </c>
      <c r="F365" s="9">
        <f>SUMIFS(BDMovEstoque!C:C,BDMovEstoque!A:A,Tabela3[[#This Row],[Código]],BDMovEstoque!G:G,"Entrada")-SUMIFS(BDMovEstoque!C:C,BDMovEstoque!A:A,Tabela3[[#This Row],[Código]],BDMovEstoque!G:G,"Saída")</f>
        <v>0</v>
      </c>
      <c r="G365" t="str">
        <f>IF(Tabela3[[#This Row],[Saldo Estoque]]&lt;Tabela3[[#This Row],[Estoque Mínimo]],"Sim","")</f>
        <v/>
      </c>
      <c r="H365" s="33">
        <f>Tabela3[[#This Row],[Saldo Estoque]]*Tabela3[[#This Row],[Valor]]</f>
        <v>0</v>
      </c>
    </row>
    <row r="366" spans="1:8" x14ac:dyDescent="0.35">
      <c r="A366" s="1">
        <v>365</v>
      </c>
      <c r="F366" s="9">
        <f>SUMIFS(BDMovEstoque!C:C,BDMovEstoque!A:A,Tabela3[[#This Row],[Código]],BDMovEstoque!G:G,"Entrada")-SUMIFS(BDMovEstoque!C:C,BDMovEstoque!A:A,Tabela3[[#This Row],[Código]],BDMovEstoque!G:G,"Saída")</f>
        <v>0</v>
      </c>
      <c r="G366" t="str">
        <f>IF(Tabela3[[#This Row],[Saldo Estoque]]&lt;Tabela3[[#This Row],[Estoque Mínimo]],"Sim","")</f>
        <v/>
      </c>
      <c r="H366" s="33">
        <f>Tabela3[[#This Row],[Saldo Estoque]]*Tabela3[[#This Row],[Valor]]</f>
        <v>0</v>
      </c>
    </row>
    <row r="367" spans="1:8" x14ac:dyDescent="0.35">
      <c r="A367" s="1">
        <v>366</v>
      </c>
      <c r="F367" s="9">
        <f>SUMIFS(BDMovEstoque!C:C,BDMovEstoque!A:A,Tabela3[[#This Row],[Código]],BDMovEstoque!G:G,"Entrada")-SUMIFS(BDMovEstoque!C:C,BDMovEstoque!A:A,Tabela3[[#This Row],[Código]],BDMovEstoque!G:G,"Saída")</f>
        <v>0</v>
      </c>
      <c r="G367" t="str">
        <f>IF(Tabela3[[#This Row],[Saldo Estoque]]&lt;Tabela3[[#This Row],[Estoque Mínimo]],"Sim","")</f>
        <v/>
      </c>
      <c r="H367" s="33">
        <f>Tabela3[[#This Row],[Saldo Estoque]]*Tabela3[[#This Row],[Valor]]</f>
        <v>0</v>
      </c>
    </row>
    <row r="368" spans="1:8" x14ac:dyDescent="0.35">
      <c r="A368" s="1">
        <v>367</v>
      </c>
      <c r="F368" s="9">
        <f>SUMIFS(BDMovEstoque!C:C,BDMovEstoque!A:A,Tabela3[[#This Row],[Código]],BDMovEstoque!G:G,"Entrada")-SUMIFS(BDMovEstoque!C:C,BDMovEstoque!A:A,Tabela3[[#This Row],[Código]],BDMovEstoque!G:G,"Saída")</f>
        <v>0</v>
      </c>
      <c r="G368" t="str">
        <f>IF(Tabela3[[#This Row],[Saldo Estoque]]&lt;Tabela3[[#This Row],[Estoque Mínimo]],"Sim","")</f>
        <v/>
      </c>
      <c r="H368" s="33">
        <f>Tabela3[[#This Row],[Saldo Estoque]]*Tabela3[[#This Row],[Valor]]</f>
        <v>0</v>
      </c>
    </row>
    <row r="369" spans="1:8" x14ac:dyDescent="0.35">
      <c r="A369" s="1">
        <v>368</v>
      </c>
      <c r="F369" s="9">
        <f>SUMIFS(BDMovEstoque!C:C,BDMovEstoque!A:A,Tabela3[[#This Row],[Código]],BDMovEstoque!G:G,"Entrada")-SUMIFS(BDMovEstoque!C:C,BDMovEstoque!A:A,Tabela3[[#This Row],[Código]],BDMovEstoque!G:G,"Saída")</f>
        <v>0</v>
      </c>
      <c r="G369" t="str">
        <f>IF(Tabela3[[#This Row],[Saldo Estoque]]&lt;Tabela3[[#This Row],[Estoque Mínimo]],"Sim","")</f>
        <v/>
      </c>
      <c r="H369" s="33">
        <f>Tabela3[[#This Row],[Saldo Estoque]]*Tabela3[[#This Row],[Valor]]</f>
        <v>0</v>
      </c>
    </row>
    <row r="370" spans="1:8" x14ac:dyDescent="0.35">
      <c r="A370" s="1">
        <v>369</v>
      </c>
      <c r="F370" s="9">
        <f>SUMIFS(BDMovEstoque!C:C,BDMovEstoque!A:A,Tabela3[[#This Row],[Código]],BDMovEstoque!G:G,"Entrada")-SUMIFS(BDMovEstoque!C:C,BDMovEstoque!A:A,Tabela3[[#This Row],[Código]],BDMovEstoque!G:G,"Saída")</f>
        <v>0</v>
      </c>
      <c r="G370" t="str">
        <f>IF(Tabela3[[#This Row],[Saldo Estoque]]&lt;Tabela3[[#This Row],[Estoque Mínimo]],"Sim","")</f>
        <v/>
      </c>
      <c r="H370" s="33">
        <f>Tabela3[[#This Row],[Saldo Estoque]]*Tabela3[[#This Row],[Valor]]</f>
        <v>0</v>
      </c>
    </row>
    <row r="371" spans="1:8" x14ac:dyDescent="0.35">
      <c r="A371" s="1">
        <v>370</v>
      </c>
      <c r="F371" s="9">
        <f>SUMIFS(BDMovEstoque!C:C,BDMovEstoque!A:A,Tabela3[[#This Row],[Código]],BDMovEstoque!G:G,"Entrada")-SUMIFS(BDMovEstoque!C:C,BDMovEstoque!A:A,Tabela3[[#This Row],[Código]],BDMovEstoque!G:G,"Saída")</f>
        <v>0</v>
      </c>
      <c r="G371" t="str">
        <f>IF(Tabela3[[#This Row],[Saldo Estoque]]&lt;Tabela3[[#This Row],[Estoque Mínimo]],"Sim","")</f>
        <v/>
      </c>
      <c r="H371" s="33">
        <f>Tabela3[[#This Row],[Saldo Estoque]]*Tabela3[[#This Row],[Valor]]</f>
        <v>0</v>
      </c>
    </row>
    <row r="372" spans="1:8" x14ac:dyDescent="0.35">
      <c r="A372" s="1">
        <v>371</v>
      </c>
      <c r="F372" s="9">
        <f>SUMIFS(BDMovEstoque!C:C,BDMovEstoque!A:A,Tabela3[[#This Row],[Código]],BDMovEstoque!G:G,"Entrada")-SUMIFS(BDMovEstoque!C:C,BDMovEstoque!A:A,Tabela3[[#This Row],[Código]],BDMovEstoque!G:G,"Saída")</f>
        <v>0</v>
      </c>
      <c r="G372" t="str">
        <f>IF(Tabela3[[#This Row],[Saldo Estoque]]&lt;Tabela3[[#This Row],[Estoque Mínimo]],"Sim","")</f>
        <v/>
      </c>
      <c r="H372" s="33">
        <f>Tabela3[[#This Row],[Saldo Estoque]]*Tabela3[[#This Row],[Valor]]</f>
        <v>0</v>
      </c>
    </row>
    <row r="373" spans="1:8" x14ac:dyDescent="0.35">
      <c r="A373" s="1">
        <v>372</v>
      </c>
      <c r="F373" s="9">
        <f>SUMIFS(BDMovEstoque!C:C,BDMovEstoque!A:A,Tabela3[[#This Row],[Código]],BDMovEstoque!G:G,"Entrada")-SUMIFS(BDMovEstoque!C:C,BDMovEstoque!A:A,Tabela3[[#This Row],[Código]],BDMovEstoque!G:G,"Saída")</f>
        <v>0</v>
      </c>
      <c r="G373" t="str">
        <f>IF(Tabela3[[#This Row],[Saldo Estoque]]&lt;Tabela3[[#This Row],[Estoque Mínimo]],"Sim","")</f>
        <v/>
      </c>
      <c r="H373" s="33">
        <f>Tabela3[[#This Row],[Saldo Estoque]]*Tabela3[[#This Row],[Valor]]</f>
        <v>0</v>
      </c>
    </row>
    <row r="374" spans="1:8" x14ac:dyDescent="0.35">
      <c r="A374" s="1">
        <v>373</v>
      </c>
      <c r="F374" s="9">
        <f>SUMIFS(BDMovEstoque!C:C,BDMovEstoque!A:A,Tabela3[[#This Row],[Código]],BDMovEstoque!G:G,"Entrada")-SUMIFS(BDMovEstoque!C:C,BDMovEstoque!A:A,Tabela3[[#This Row],[Código]],BDMovEstoque!G:G,"Saída")</f>
        <v>0</v>
      </c>
      <c r="G374" t="str">
        <f>IF(Tabela3[[#This Row],[Saldo Estoque]]&lt;Tabela3[[#This Row],[Estoque Mínimo]],"Sim","")</f>
        <v/>
      </c>
      <c r="H374" s="33">
        <f>Tabela3[[#This Row],[Saldo Estoque]]*Tabela3[[#This Row],[Valor]]</f>
        <v>0</v>
      </c>
    </row>
    <row r="375" spans="1:8" x14ac:dyDescent="0.35">
      <c r="A375" s="1">
        <v>374</v>
      </c>
      <c r="F375" s="9">
        <f>SUMIFS(BDMovEstoque!C:C,BDMovEstoque!A:A,Tabela3[[#This Row],[Código]],BDMovEstoque!G:G,"Entrada")-SUMIFS(BDMovEstoque!C:C,BDMovEstoque!A:A,Tabela3[[#This Row],[Código]],BDMovEstoque!G:G,"Saída")</f>
        <v>0</v>
      </c>
      <c r="G375" t="str">
        <f>IF(Tabela3[[#This Row],[Saldo Estoque]]&lt;Tabela3[[#This Row],[Estoque Mínimo]],"Sim","")</f>
        <v/>
      </c>
      <c r="H375" s="33">
        <f>Tabela3[[#This Row],[Saldo Estoque]]*Tabela3[[#This Row],[Valor]]</f>
        <v>0</v>
      </c>
    </row>
    <row r="376" spans="1:8" x14ac:dyDescent="0.35">
      <c r="A376" s="1">
        <v>375</v>
      </c>
      <c r="F376" s="9">
        <f>SUMIFS(BDMovEstoque!C:C,BDMovEstoque!A:A,Tabela3[[#This Row],[Código]],BDMovEstoque!G:G,"Entrada")-SUMIFS(BDMovEstoque!C:C,BDMovEstoque!A:A,Tabela3[[#This Row],[Código]],BDMovEstoque!G:G,"Saída")</f>
        <v>0</v>
      </c>
      <c r="G376" t="str">
        <f>IF(Tabela3[[#This Row],[Saldo Estoque]]&lt;Tabela3[[#This Row],[Estoque Mínimo]],"Sim","")</f>
        <v/>
      </c>
      <c r="H376" s="33">
        <f>Tabela3[[#This Row],[Saldo Estoque]]*Tabela3[[#This Row],[Valor]]</f>
        <v>0</v>
      </c>
    </row>
    <row r="377" spans="1:8" x14ac:dyDescent="0.35">
      <c r="A377" s="1">
        <v>376</v>
      </c>
      <c r="F377" s="9">
        <f>SUMIFS(BDMovEstoque!C:C,BDMovEstoque!A:A,Tabela3[[#This Row],[Código]],BDMovEstoque!G:G,"Entrada")-SUMIFS(BDMovEstoque!C:C,BDMovEstoque!A:A,Tabela3[[#This Row],[Código]],BDMovEstoque!G:G,"Saída")</f>
        <v>0</v>
      </c>
      <c r="G377" t="str">
        <f>IF(Tabela3[[#This Row],[Saldo Estoque]]&lt;Tabela3[[#This Row],[Estoque Mínimo]],"Sim","")</f>
        <v/>
      </c>
      <c r="H377" s="33">
        <f>Tabela3[[#This Row],[Saldo Estoque]]*Tabela3[[#This Row],[Valor]]</f>
        <v>0</v>
      </c>
    </row>
    <row r="378" spans="1:8" x14ac:dyDescent="0.35">
      <c r="A378" s="1">
        <v>377</v>
      </c>
      <c r="F378" s="9">
        <f>SUMIFS(BDMovEstoque!C:C,BDMovEstoque!A:A,Tabela3[[#This Row],[Código]],BDMovEstoque!G:G,"Entrada")-SUMIFS(BDMovEstoque!C:C,BDMovEstoque!A:A,Tabela3[[#This Row],[Código]],BDMovEstoque!G:G,"Saída")</f>
        <v>0</v>
      </c>
      <c r="G378" t="str">
        <f>IF(Tabela3[[#This Row],[Saldo Estoque]]&lt;Tabela3[[#This Row],[Estoque Mínimo]],"Sim","")</f>
        <v/>
      </c>
      <c r="H378" s="33">
        <f>Tabela3[[#This Row],[Saldo Estoque]]*Tabela3[[#This Row],[Valor]]</f>
        <v>0</v>
      </c>
    </row>
    <row r="379" spans="1:8" x14ac:dyDescent="0.35">
      <c r="A379" s="1">
        <v>378</v>
      </c>
      <c r="F379" s="9">
        <f>SUMIFS(BDMovEstoque!C:C,BDMovEstoque!A:A,Tabela3[[#This Row],[Código]],BDMovEstoque!G:G,"Entrada")-SUMIFS(BDMovEstoque!C:C,BDMovEstoque!A:A,Tabela3[[#This Row],[Código]],BDMovEstoque!G:G,"Saída")</f>
        <v>0</v>
      </c>
      <c r="G379" t="str">
        <f>IF(Tabela3[[#This Row],[Saldo Estoque]]&lt;Tabela3[[#This Row],[Estoque Mínimo]],"Sim","")</f>
        <v/>
      </c>
      <c r="H379" s="33">
        <f>Tabela3[[#This Row],[Saldo Estoque]]*Tabela3[[#This Row],[Valor]]</f>
        <v>0</v>
      </c>
    </row>
    <row r="380" spans="1:8" x14ac:dyDescent="0.35">
      <c r="A380" s="1">
        <v>379</v>
      </c>
      <c r="F380" s="9">
        <f>SUMIFS(BDMovEstoque!C:C,BDMovEstoque!A:A,Tabela3[[#This Row],[Código]],BDMovEstoque!G:G,"Entrada")-SUMIFS(BDMovEstoque!C:C,BDMovEstoque!A:A,Tabela3[[#This Row],[Código]],BDMovEstoque!G:G,"Saída")</f>
        <v>0</v>
      </c>
      <c r="G380" t="str">
        <f>IF(Tabela3[[#This Row],[Saldo Estoque]]&lt;Tabela3[[#This Row],[Estoque Mínimo]],"Sim","")</f>
        <v/>
      </c>
      <c r="H380" s="33">
        <f>Tabela3[[#This Row],[Saldo Estoque]]*Tabela3[[#This Row],[Valor]]</f>
        <v>0</v>
      </c>
    </row>
    <row r="381" spans="1:8" x14ac:dyDescent="0.35">
      <c r="A381" s="1">
        <v>380</v>
      </c>
      <c r="F381" s="9">
        <f>SUMIFS(BDMovEstoque!C:C,BDMovEstoque!A:A,Tabela3[[#This Row],[Código]],BDMovEstoque!G:G,"Entrada")-SUMIFS(BDMovEstoque!C:C,BDMovEstoque!A:A,Tabela3[[#This Row],[Código]],BDMovEstoque!G:G,"Saída")</f>
        <v>0</v>
      </c>
      <c r="G381" t="str">
        <f>IF(Tabela3[[#This Row],[Saldo Estoque]]&lt;Tabela3[[#This Row],[Estoque Mínimo]],"Sim","")</f>
        <v/>
      </c>
      <c r="H381" s="33">
        <f>Tabela3[[#This Row],[Saldo Estoque]]*Tabela3[[#This Row],[Valor]]</f>
        <v>0</v>
      </c>
    </row>
    <row r="382" spans="1:8" x14ac:dyDescent="0.35">
      <c r="A382" s="1">
        <v>381</v>
      </c>
      <c r="F382" s="9">
        <f>SUMIFS(BDMovEstoque!C:C,BDMovEstoque!A:A,Tabela3[[#This Row],[Código]],BDMovEstoque!G:G,"Entrada")-SUMIFS(BDMovEstoque!C:C,BDMovEstoque!A:A,Tabela3[[#This Row],[Código]],BDMovEstoque!G:G,"Saída")</f>
        <v>0</v>
      </c>
      <c r="G382" t="str">
        <f>IF(Tabela3[[#This Row],[Saldo Estoque]]&lt;Tabela3[[#This Row],[Estoque Mínimo]],"Sim","")</f>
        <v/>
      </c>
      <c r="H382" s="33">
        <f>Tabela3[[#This Row],[Saldo Estoque]]*Tabela3[[#This Row],[Valor]]</f>
        <v>0</v>
      </c>
    </row>
    <row r="383" spans="1:8" x14ac:dyDescent="0.35">
      <c r="A383" s="1">
        <v>382</v>
      </c>
      <c r="F383" s="9">
        <f>SUMIFS(BDMovEstoque!C:C,BDMovEstoque!A:A,Tabela3[[#This Row],[Código]],BDMovEstoque!G:G,"Entrada")-SUMIFS(BDMovEstoque!C:C,BDMovEstoque!A:A,Tabela3[[#This Row],[Código]],BDMovEstoque!G:G,"Saída")</f>
        <v>0</v>
      </c>
      <c r="G383" t="str">
        <f>IF(Tabela3[[#This Row],[Saldo Estoque]]&lt;Tabela3[[#This Row],[Estoque Mínimo]],"Sim","")</f>
        <v/>
      </c>
      <c r="H383" s="33">
        <f>Tabela3[[#This Row],[Saldo Estoque]]*Tabela3[[#This Row],[Valor]]</f>
        <v>0</v>
      </c>
    </row>
    <row r="384" spans="1:8" x14ac:dyDescent="0.35">
      <c r="A384" s="1">
        <v>383</v>
      </c>
      <c r="F384" s="9">
        <f>SUMIFS(BDMovEstoque!C:C,BDMovEstoque!A:A,Tabela3[[#This Row],[Código]],BDMovEstoque!G:G,"Entrada")-SUMIFS(BDMovEstoque!C:C,BDMovEstoque!A:A,Tabela3[[#This Row],[Código]],BDMovEstoque!G:G,"Saída")</f>
        <v>0</v>
      </c>
      <c r="G384" t="str">
        <f>IF(Tabela3[[#This Row],[Saldo Estoque]]&lt;Tabela3[[#This Row],[Estoque Mínimo]],"Sim","")</f>
        <v/>
      </c>
      <c r="H384" s="33">
        <f>Tabela3[[#This Row],[Saldo Estoque]]*Tabela3[[#This Row],[Valor]]</f>
        <v>0</v>
      </c>
    </row>
    <row r="385" spans="1:8" x14ac:dyDescent="0.35">
      <c r="A385" s="1">
        <v>384</v>
      </c>
      <c r="F385" s="9">
        <f>SUMIFS(BDMovEstoque!C:C,BDMovEstoque!A:A,Tabela3[[#This Row],[Código]],BDMovEstoque!G:G,"Entrada")-SUMIFS(BDMovEstoque!C:C,BDMovEstoque!A:A,Tabela3[[#This Row],[Código]],BDMovEstoque!G:G,"Saída")</f>
        <v>0</v>
      </c>
      <c r="G385" t="str">
        <f>IF(Tabela3[[#This Row],[Saldo Estoque]]&lt;Tabela3[[#This Row],[Estoque Mínimo]],"Sim","")</f>
        <v/>
      </c>
      <c r="H385" s="33">
        <f>Tabela3[[#This Row],[Saldo Estoque]]*Tabela3[[#This Row],[Valor]]</f>
        <v>0</v>
      </c>
    </row>
    <row r="386" spans="1:8" x14ac:dyDescent="0.35">
      <c r="A386" s="1">
        <v>385</v>
      </c>
      <c r="F386" s="9">
        <f>SUMIFS(BDMovEstoque!C:C,BDMovEstoque!A:A,Tabela3[[#This Row],[Código]],BDMovEstoque!G:G,"Entrada")-SUMIFS(BDMovEstoque!C:C,BDMovEstoque!A:A,Tabela3[[#This Row],[Código]],BDMovEstoque!G:G,"Saída")</f>
        <v>0</v>
      </c>
      <c r="G386" t="str">
        <f>IF(Tabela3[[#This Row],[Saldo Estoque]]&lt;Tabela3[[#This Row],[Estoque Mínimo]],"Sim","")</f>
        <v/>
      </c>
      <c r="H386" s="33">
        <f>Tabela3[[#This Row],[Saldo Estoque]]*Tabela3[[#This Row],[Valor]]</f>
        <v>0</v>
      </c>
    </row>
    <row r="387" spans="1:8" x14ac:dyDescent="0.35">
      <c r="A387" s="1">
        <v>386</v>
      </c>
      <c r="F387" s="9">
        <f>SUMIFS(BDMovEstoque!C:C,BDMovEstoque!A:A,Tabela3[[#This Row],[Código]],BDMovEstoque!G:G,"Entrada")-SUMIFS(BDMovEstoque!C:C,BDMovEstoque!A:A,Tabela3[[#This Row],[Código]],BDMovEstoque!G:G,"Saída")</f>
        <v>0</v>
      </c>
      <c r="G387" t="str">
        <f>IF(Tabela3[[#This Row],[Saldo Estoque]]&lt;Tabela3[[#This Row],[Estoque Mínimo]],"Sim","")</f>
        <v/>
      </c>
      <c r="H387" s="33">
        <f>Tabela3[[#This Row],[Saldo Estoque]]*Tabela3[[#This Row],[Valor]]</f>
        <v>0</v>
      </c>
    </row>
    <row r="388" spans="1:8" x14ac:dyDescent="0.35">
      <c r="A388" s="1">
        <v>387</v>
      </c>
      <c r="F388" s="9">
        <f>SUMIFS(BDMovEstoque!C:C,BDMovEstoque!A:A,Tabela3[[#This Row],[Código]],BDMovEstoque!G:G,"Entrada")-SUMIFS(BDMovEstoque!C:C,BDMovEstoque!A:A,Tabela3[[#This Row],[Código]],BDMovEstoque!G:G,"Saída")</f>
        <v>0</v>
      </c>
      <c r="G388" t="str">
        <f>IF(Tabela3[[#This Row],[Saldo Estoque]]&lt;Tabela3[[#This Row],[Estoque Mínimo]],"Sim","")</f>
        <v/>
      </c>
      <c r="H388" s="33">
        <f>Tabela3[[#This Row],[Saldo Estoque]]*Tabela3[[#This Row],[Valor]]</f>
        <v>0</v>
      </c>
    </row>
    <row r="389" spans="1:8" x14ac:dyDescent="0.35">
      <c r="A389" s="1">
        <v>388</v>
      </c>
      <c r="F389" s="9">
        <f>SUMIFS(BDMovEstoque!C:C,BDMovEstoque!A:A,Tabela3[[#This Row],[Código]],BDMovEstoque!G:G,"Entrada")-SUMIFS(BDMovEstoque!C:C,BDMovEstoque!A:A,Tabela3[[#This Row],[Código]],BDMovEstoque!G:G,"Saída")</f>
        <v>0</v>
      </c>
      <c r="G389" t="str">
        <f>IF(Tabela3[[#This Row],[Saldo Estoque]]&lt;Tabela3[[#This Row],[Estoque Mínimo]],"Sim","")</f>
        <v/>
      </c>
      <c r="H389" s="33">
        <f>Tabela3[[#This Row],[Saldo Estoque]]*Tabela3[[#This Row],[Valor]]</f>
        <v>0</v>
      </c>
    </row>
    <row r="390" spans="1:8" x14ac:dyDescent="0.35">
      <c r="A390" s="1">
        <v>389</v>
      </c>
      <c r="F390" s="9">
        <f>SUMIFS(BDMovEstoque!C:C,BDMovEstoque!A:A,Tabela3[[#This Row],[Código]],BDMovEstoque!G:G,"Entrada")-SUMIFS(BDMovEstoque!C:C,BDMovEstoque!A:A,Tabela3[[#This Row],[Código]],BDMovEstoque!G:G,"Saída")</f>
        <v>0</v>
      </c>
      <c r="G390" t="str">
        <f>IF(Tabela3[[#This Row],[Saldo Estoque]]&lt;Tabela3[[#This Row],[Estoque Mínimo]],"Sim","")</f>
        <v/>
      </c>
      <c r="H390" s="33">
        <f>Tabela3[[#This Row],[Saldo Estoque]]*Tabela3[[#This Row],[Valor]]</f>
        <v>0</v>
      </c>
    </row>
    <row r="391" spans="1:8" x14ac:dyDescent="0.35">
      <c r="A391" s="1">
        <v>390</v>
      </c>
      <c r="F391" s="9">
        <f>SUMIFS(BDMovEstoque!C:C,BDMovEstoque!A:A,Tabela3[[#This Row],[Código]],BDMovEstoque!G:G,"Entrada")-SUMIFS(BDMovEstoque!C:C,BDMovEstoque!A:A,Tabela3[[#This Row],[Código]],BDMovEstoque!G:G,"Saída")</f>
        <v>0</v>
      </c>
      <c r="G391" t="str">
        <f>IF(Tabela3[[#This Row],[Saldo Estoque]]&lt;Tabela3[[#This Row],[Estoque Mínimo]],"Sim","")</f>
        <v/>
      </c>
      <c r="H391" s="33">
        <f>Tabela3[[#This Row],[Saldo Estoque]]*Tabela3[[#This Row],[Valor]]</f>
        <v>0</v>
      </c>
    </row>
    <row r="392" spans="1:8" x14ac:dyDescent="0.35">
      <c r="A392" s="1">
        <v>391</v>
      </c>
      <c r="F392" s="9">
        <f>SUMIFS(BDMovEstoque!C:C,BDMovEstoque!A:A,Tabela3[[#This Row],[Código]],BDMovEstoque!G:G,"Entrada")-SUMIFS(BDMovEstoque!C:C,BDMovEstoque!A:A,Tabela3[[#This Row],[Código]],BDMovEstoque!G:G,"Saída")</f>
        <v>0</v>
      </c>
      <c r="G392" t="str">
        <f>IF(Tabela3[[#This Row],[Saldo Estoque]]&lt;Tabela3[[#This Row],[Estoque Mínimo]],"Sim","")</f>
        <v/>
      </c>
      <c r="H392" s="33">
        <f>Tabela3[[#This Row],[Saldo Estoque]]*Tabela3[[#This Row],[Valor]]</f>
        <v>0</v>
      </c>
    </row>
    <row r="393" spans="1:8" x14ac:dyDescent="0.35">
      <c r="A393" s="1">
        <v>392</v>
      </c>
      <c r="F393" s="9">
        <f>SUMIFS(BDMovEstoque!C:C,BDMovEstoque!A:A,Tabela3[[#This Row],[Código]],BDMovEstoque!G:G,"Entrada")-SUMIFS(BDMovEstoque!C:C,BDMovEstoque!A:A,Tabela3[[#This Row],[Código]],BDMovEstoque!G:G,"Saída")</f>
        <v>0</v>
      </c>
      <c r="G393" t="str">
        <f>IF(Tabela3[[#This Row],[Saldo Estoque]]&lt;Tabela3[[#This Row],[Estoque Mínimo]],"Sim","")</f>
        <v/>
      </c>
      <c r="H393" s="33">
        <f>Tabela3[[#This Row],[Saldo Estoque]]*Tabela3[[#This Row],[Valor]]</f>
        <v>0</v>
      </c>
    </row>
    <row r="394" spans="1:8" x14ac:dyDescent="0.35">
      <c r="A394" s="1">
        <v>393</v>
      </c>
      <c r="F394" s="9">
        <f>SUMIFS(BDMovEstoque!C:C,BDMovEstoque!A:A,Tabela3[[#This Row],[Código]],BDMovEstoque!G:G,"Entrada")-SUMIFS(BDMovEstoque!C:C,BDMovEstoque!A:A,Tabela3[[#This Row],[Código]],BDMovEstoque!G:G,"Saída")</f>
        <v>0</v>
      </c>
      <c r="G394" t="str">
        <f>IF(Tabela3[[#This Row],[Saldo Estoque]]&lt;Tabela3[[#This Row],[Estoque Mínimo]],"Sim","")</f>
        <v/>
      </c>
      <c r="H394" s="33">
        <f>Tabela3[[#This Row],[Saldo Estoque]]*Tabela3[[#This Row],[Valor]]</f>
        <v>0</v>
      </c>
    </row>
    <row r="395" spans="1:8" x14ac:dyDescent="0.35">
      <c r="A395" s="1">
        <v>394</v>
      </c>
      <c r="F395" s="9">
        <f>SUMIFS(BDMovEstoque!C:C,BDMovEstoque!A:A,Tabela3[[#This Row],[Código]],BDMovEstoque!G:G,"Entrada")-SUMIFS(BDMovEstoque!C:C,BDMovEstoque!A:A,Tabela3[[#This Row],[Código]],BDMovEstoque!G:G,"Saída")</f>
        <v>0</v>
      </c>
      <c r="G395" t="str">
        <f>IF(Tabela3[[#This Row],[Saldo Estoque]]&lt;Tabela3[[#This Row],[Estoque Mínimo]],"Sim","")</f>
        <v/>
      </c>
      <c r="H395" s="33">
        <f>Tabela3[[#This Row],[Saldo Estoque]]*Tabela3[[#This Row],[Valor]]</f>
        <v>0</v>
      </c>
    </row>
    <row r="396" spans="1:8" x14ac:dyDescent="0.35">
      <c r="A396" s="1">
        <v>395</v>
      </c>
      <c r="F396" s="9">
        <f>SUMIFS(BDMovEstoque!C:C,BDMovEstoque!A:A,Tabela3[[#This Row],[Código]],BDMovEstoque!G:G,"Entrada")-SUMIFS(BDMovEstoque!C:C,BDMovEstoque!A:A,Tabela3[[#This Row],[Código]],BDMovEstoque!G:G,"Saída")</f>
        <v>0</v>
      </c>
      <c r="G396" t="str">
        <f>IF(Tabela3[[#This Row],[Saldo Estoque]]&lt;Tabela3[[#This Row],[Estoque Mínimo]],"Sim","")</f>
        <v/>
      </c>
      <c r="H396" s="33">
        <f>Tabela3[[#This Row],[Saldo Estoque]]*Tabela3[[#This Row],[Valor]]</f>
        <v>0</v>
      </c>
    </row>
    <row r="397" spans="1:8" x14ac:dyDescent="0.35">
      <c r="A397" s="1">
        <v>396</v>
      </c>
      <c r="F397" s="9">
        <f>SUMIFS(BDMovEstoque!C:C,BDMovEstoque!A:A,Tabela3[[#This Row],[Código]],BDMovEstoque!G:G,"Entrada")-SUMIFS(BDMovEstoque!C:C,BDMovEstoque!A:A,Tabela3[[#This Row],[Código]],BDMovEstoque!G:G,"Saída")</f>
        <v>0</v>
      </c>
      <c r="G397" t="str">
        <f>IF(Tabela3[[#This Row],[Saldo Estoque]]&lt;Tabela3[[#This Row],[Estoque Mínimo]],"Sim","")</f>
        <v/>
      </c>
      <c r="H397" s="33">
        <f>Tabela3[[#This Row],[Saldo Estoque]]*Tabela3[[#This Row],[Valor]]</f>
        <v>0</v>
      </c>
    </row>
    <row r="398" spans="1:8" x14ac:dyDescent="0.35">
      <c r="A398" s="1">
        <v>397</v>
      </c>
      <c r="F398" s="9">
        <f>SUMIFS(BDMovEstoque!C:C,BDMovEstoque!A:A,Tabela3[[#This Row],[Código]],BDMovEstoque!G:G,"Entrada")-SUMIFS(BDMovEstoque!C:C,BDMovEstoque!A:A,Tabela3[[#This Row],[Código]],BDMovEstoque!G:G,"Saída")</f>
        <v>0</v>
      </c>
      <c r="G398" t="str">
        <f>IF(Tabela3[[#This Row],[Saldo Estoque]]&lt;Tabela3[[#This Row],[Estoque Mínimo]],"Sim","")</f>
        <v/>
      </c>
      <c r="H398" s="33">
        <f>Tabela3[[#This Row],[Saldo Estoque]]*Tabela3[[#This Row],[Valor]]</f>
        <v>0</v>
      </c>
    </row>
    <row r="399" spans="1:8" x14ac:dyDescent="0.35">
      <c r="A399" s="1">
        <v>398</v>
      </c>
      <c r="F399" s="9">
        <f>SUMIFS(BDMovEstoque!C:C,BDMovEstoque!A:A,Tabela3[[#This Row],[Código]],BDMovEstoque!G:G,"Entrada")-SUMIFS(BDMovEstoque!C:C,BDMovEstoque!A:A,Tabela3[[#This Row],[Código]],BDMovEstoque!G:G,"Saída")</f>
        <v>0</v>
      </c>
      <c r="G399" t="str">
        <f>IF(Tabela3[[#This Row],[Saldo Estoque]]&lt;Tabela3[[#This Row],[Estoque Mínimo]],"Sim","")</f>
        <v/>
      </c>
      <c r="H399" s="33">
        <f>Tabela3[[#This Row],[Saldo Estoque]]*Tabela3[[#This Row],[Valor]]</f>
        <v>0</v>
      </c>
    </row>
    <row r="400" spans="1:8" x14ac:dyDescent="0.35">
      <c r="A400" s="1">
        <v>399</v>
      </c>
      <c r="F400" s="9">
        <f>SUMIFS(BDMovEstoque!C:C,BDMovEstoque!A:A,Tabela3[[#This Row],[Código]],BDMovEstoque!G:G,"Entrada")-SUMIFS(BDMovEstoque!C:C,BDMovEstoque!A:A,Tabela3[[#This Row],[Código]],BDMovEstoque!G:G,"Saída")</f>
        <v>0</v>
      </c>
      <c r="G400" t="str">
        <f>IF(Tabela3[[#This Row],[Saldo Estoque]]&lt;Tabela3[[#This Row],[Estoque Mínimo]],"Sim","")</f>
        <v/>
      </c>
      <c r="H400" s="33">
        <f>Tabela3[[#This Row],[Saldo Estoque]]*Tabela3[[#This Row],[Valor]]</f>
        <v>0</v>
      </c>
    </row>
    <row r="401" spans="1:8" x14ac:dyDescent="0.35">
      <c r="A401" s="1">
        <v>400</v>
      </c>
      <c r="F401" s="9">
        <f>SUMIFS(BDMovEstoque!C:C,BDMovEstoque!A:A,Tabela3[[#This Row],[Código]],BDMovEstoque!G:G,"Entrada")-SUMIFS(BDMovEstoque!C:C,BDMovEstoque!A:A,Tabela3[[#This Row],[Código]],BDMovEstoque!G:G,"Saída")</f>
        <v>0</v>
      </c>
      <c r="G401" t="str">
        <f>IF(Tabela3[[#This Row],[Saldo Estoque]]&lt;Tabela3[[#This Row],[Estoque Mínimo]],"Sim","")</f>
        <v/>
      </c>
      <c r="H401" s="33">
        <f>Tabela3[[#This Row],[Saldo Estoque]]*Tabela3[[#This Row],[Valor]]</f>
        <v>0</v>
      </c>
    </row>
    <row r="402" spans="1:8" x14ac:dyDescent="0.35">
      <c r="A402" s="1">
        <v>401</v>
      </c>
      <c r="F402" s="9">
        <f>SUMIFS(BDMovEstoque!C:C,BDMovEstoque!A:A,Tabela3[[#This Row],[Código]],BDMovEstoque!G:G,"Entrada")-SUMIFS(BDMovEstoque!C:C,BDMovEstoque!A:A,Tabela3[[#This Row],[Código]],BDMovEstoque!G:G,"Saída")</f>
        <v>0</v>
      </c>
      <c r="G402" t="str">
        <f>IF(Tabela3[[#This Row],[Saldo Estoque]]&lt;Tabela3[[#This Row],[Estoque Mínimo]],"Sim","")</f>
        <v/>
      </c>
      <c r="H402" s="33">
        <f>Tabela3[[#This Row],[Saldo Estoque]]*Tabela3[[#This Row],[Valor]]</f>
        <v>0</v>
      </c>
    </row>
    <row r="403" spans="1:8" x14ac:dyDescent="0.35">
      <c r="A403" s="1">
        <v>402</v>
      </c>
      <c r="F403" s="9">
        <f>SUMIFS(BDMovEstoque!C:C,BDMovEstoque!A:A,Tabela3[[#This Row],[Código]],BDMovEstoque!G:G,"Entrada")-SUMIFS(BDMovEstoque!C:C,BDMovEstoque!A:A,Tabela3[[#This Row],[Código]],BDMovEstoque!G:G,"Saída")</f>
        <v>0</v>
      </c>
      <c r="G403" t="str">
        <f>IF(Tabela3[[#This Row],[Saldo Estoque]]&lt;Tabela3[[#This Row],[Estoque Mínimo]],"Sim","")</f>
        <v/>
      </c>
      <c r="H403" s="33">
        <f>Tabela3[[#This Row],[Saldo Estoque]]*Tabela3[[#This Row],[Valor]]</f>
        <v>0</v>
      </c>
    </row>
    <row r="404" spans="1:8" x14ac:dyDescent="0.35">
      <c r="A404" s="1">
        <v>403</v>
      </c>
      <c r="F404" s="9">
        <f>SUMIFS(BDMovEstoque!C:C,BDMovEstoque!A:A,Tabela3[[#This Row],[Código]],BDMovEstoque!G:G,"Entrada")-SUMIFS(BDMovEstoque!C:C,BDMovEstoque!A:A,Tabela3[[#This Row],[Código]],BDMovEstoque!G:G,"Saída")</f>
        <v>0</v>
      </c>
      <c r="G404" t="str">
        <f>IF(Tabela3[[#This Row],[Saldo Estoque]]&lt;Tabela3[[#This Row],[Estoque Mínimo]],"Sim","")</f>
        <v/>
      </c>
      <c r="H404" s="33">
        <f>Tabela3[[#This Row],[Saldo Estoque]]*Tabela3[[#This Row],[Valor]]</f>
        <v>0</v>
      </c>
    </row>
    <row r="405" spans="1:8" x14ac:dyDescent="0.35">
      <c r="A405" s="1">
        <v>404</v>
      </c>
      <c r="F405" s="9">
        <f>SUMIFS(BDMovEstoque!C:C,BDMovEstoque!A:A,Tabela3[[#This Row],[Código]],BDMovEstoque!G:G,"Entrada")-SUMIFS(BDMovEstoque!C:C,BDMovEstoque!A:A,Tabela3[[#This Row],[Código]],BDMovEstoque!G:G,"Saída")</f>
        <v>0</v>
      </c>
      <c r="G405" t="str">
        <f>IF(Tabela3[[#This Row],[Saldo Estoque]]&lt;Tabela3[[#This Row],[Estoque Mínimo]],"Sim","")</f>
        <v/>
      </c>
      <c r="H405" s="33">
        <f>Tabela3[[#This Row],[Saldo Estoque]]*Tabela3[[#This Row],[Valor]]</f>
        <v>0</v>
      </c>
    </row>
    <row r="406" spans="1:8" x14ac:dyDescent="0.35">
      <c r="A406" s="1">
        <v>405</v>
      </c>
      <c r="F406" s="9">
        <f>SUMIFS(BDMovEstoque!C:C,BDMovEstoque!A:A,Tabela3[[#This Row],[Código]],BDMovEstoque!G:G,"Entrada")-SUMIFS(BDMovEstoque!C:C,BDMovEstoque!A:A,Tabela3[[#This Row],[Código]],BDMovEstoque!G:G,"Saída")</f>
        <v>0</v>
      </c>
      <c r="G406" t="str">
        <f>IF(Tabela3[[#This Row],[Saldo Estoque]]&lt;Tabela3[[#This Row],[Estoque Mínimo]],"Sim","")</f>
        <v/>
      </c>
      <c r="H406" s="33">
        <f>Tabela3[[#This Row],[Saldo Estoque]]*Tabela3[[#This Row],[Valor]]</f>
        <v>0</v>
      </c>
    </row>
    <row r="407" spans="1:8" x14ac:dyDescent="0.35">
      <c r="A407" s="1">
        <v>406</v>
      </c>
      <c r="F407" s="9">
        <f>SUMIFS(BDMovEstoque!C:C,BDMovEstoque!A:A,Tabela3[[#This Row],[Código]],BDMovEstoque!G:G,"Entrada")-SUMIFS(BDMovEstoque!C:C,BDMovEstoque!A:A,Tabela3[[#This Row],[Código]],BDMovEstoque!G:G,"Saída")</f>
        <v>0</v>
      </c>
      <c r="G407" t="str">
        <f>IF(Tabela3[[#This Row],[Saldo Estoque]]&lt;Tabela3[[#This Row],[Estoque Mínimo]],"Sim","")</f>
        <v/>
      </c>
      <c r="H407" s="33">
        <f>Tabela3[[#This Row],[Saldo Estoque]]*Tabela3[[#This Row],[Valor]]</f>
        <v>0</v>
      </c>
    </row>
    <row r="408" spans="1:8" x14ac:dyDescent="0.35">
      <c r="A408" s="1">
        <v>407</v>
      </c>
      <c r="F408" s="9">
        <f>SUMIFS(BDMovEstoque!C:C,BDMovEstoque!A:A,Tabela3[[#This Row],[Código]],BDMovEstoque!G:G,"Entrada")-SUMIFS(BDMovEstoque!C:C,BDMovEstoque!A:A,Tabela3[[#This Row],[Código]],BDMovEstoque!G:G,"Saída")</f>
        <v>0</v>
      </c>
      <c r="G408" t="str">
        <f>IF(Tabela3[[#This Row],[Saldo Estoque]]&lt;Tabela3[[#This Row],[Estoque Mínimo]],"Sim","")</f>
        <v/>
      </c>
      <c r="H408" s="33">
        <f>Tabela3[[#This Row],[Saldo Estoque]]*Tabela3[[#This Row],[Valor]]</f>
        <v>0</v>
      </c>
    </row>
    <row r="409" spans="1:8" x14ac:dyDescent="0.35">
      <c r="A409" s="1">
        <v>408</v>
      </c>
      <c r="F409" s="9">
        <f>SUMIFS(BDMovEstoque!C:C,BDMovEstoque!A:A,Tabela3[[#This Row],[Código]],BDMovEstoque!G:G,"Entrada")-SUMIFS(BDMovEstoque!C:C,BDMovEstoque!A:A,Tabela3[[#This Row],[Código]],BDMovEstoque!G:G,"Saída")</f>
        <v>0</v>
      </c>
      <c r="G409" t="str">
        <f>IF(Tabela3[[#This Row],[Saldo Estoque]]&lt;Tabela3[[#This Row],[Estoque Mínimo]],"Sim","")</f>
        <v/>
      </c>
      <c r="H409" s="33">
        <f>Tabela3[[#This Row],[Saldo Estoque]]*Tabela3[[#This Row],[Valor]]</f>
        <v>0</v>
      </c>
    </row>
    <row r="410" spans="1:8" x14ac:dyDescent="0.35">
      <c r="A410" s="1">
        <v>409</v>
      </c>
      <c r="F410" s="9">
        <f>SUMIFS(BDMovEstoque!C:C,BDMovEstoque!A:A,Tabela3[[#This Row],[Código]],BDMovEstoque!G:G,"Entrada")-SUMIFS(BDMovEstoque!C:C,BDMovEstoque!A:A,Tabela3[[#This Row],[Código]],BDMovEstoque!G:G,"Saída")</f>
        <v>0</v>
      </c>
      <c r="G410" t="str">
        <f>IF(Tabela3[[#This Row],[Saldo Estoque]]&lt;Tabela3[[#This Row],[Estoque Mínimo]],"Sim","")</f>
        <v/>
      </c>
      <c r="H410" s="33">
        <f>Tabela3[[#This Row],[Saldo Estoque]]*Tabela3[[#This Row],[Valor]]</f>
        <v>0</v>
      </c>
    </row>
    <row r="411" spans="1:8" x14ac:dyDescent="0.35">
      <c r="A411" s="1">
        <v>410</v>
      </c>
      <c r="F411" s="9">
        <f>SUMIFS(BDMovEstoque!C:C,BDMovEstoque!A:A,Tabela3[[#This Row],[Código]],BDMovEstoque!G:G,"Entrada")-SUMIFS(BDMovEstoque!C:C,BDMovEstoque!A:A,Tabela3[[#This Row],[Código]],BDMovEstoque!G:G,"Saída")</f>
        <v>0</v>
      </c>
      <c r="G411" t="str">
        <f>IF(Tabela3[[#This Row],[Saldo Estoque]]&lt;Tabela3[[#This Row],[Estoque Mínimo]],"Sim","")</f>
        <v/>
      </c>
      <c r="H411" s="33">
        <f>Tabela3[[#This Row],[Saldo Estoque]]*Tabela3[[#This Row],[Valor]]</f>
        <v>0</v>
      </c>
    </row>
    <row r="412" spans="1:8" x14ac:dyDescent="0.35">
      <c r="A412" s="1">
        <v>411</v>
      </c>
      <c r="F412" s="9">
        <f>SUMIFS(BDMovEstoque!C:C,BDMovEstoque!A:A,Tabela3[[#This Row],[Código]],BDMovEstoque!G:G,"Entrada")-SUMIFS(BDMovEstoque!C:C,BDMovEstoque!A:A,Tabela3[[#This Row],[Código]],BDMovEstoque!G:G,"Saída")</f>
        <v>0</v>
      </c>
      <c r="G412" t="str">
        <f>IF(Tabela3[[#This Row],[Saldo Estoque]]&lt;Tabela3[[#This Row],[Estoque Mínimo]],"Sim","")</f>
        <v/>
      </c>
      <c r="H412" s="33">
        <f>Tabela3[[#This Row],[Saldo Estoque]]*Tabela3[[#This Row],[Valor]]</f>
        <v>0</v>
      </c>
    </row>
    <row r="413" spans="1:8" x14ac:dyDescent="0.35">
      <c r="A413" s="1">
        <v>412</v>
      </c>
      <c r="F413" s="9">
        <f>SUMIFS(BDMovEstoque!C:C,BDMovEstoque!A:A,Tabela3[[#This Row],[Código]],BDMovEstoque!G:G,"Entrada")-SUMIFS(BDMovEstoque!C:C,BDMovEstoque!A:A,Tabela3[[#This Row],[Código]],BDMovEstoque!G:G,"Saída")</f>
        <v>0</v>
      </c>
      <c r="G413" t="str">
        <f>IF(Tabela3[[#This Row],[Saldo Estoque]]&lt;Tabela3[[#This Row],[Estoque Mínimo]],"Sim","")</f>
        <v/>
      </c>
      <c r="H413" s="33">
        <f>Tabela3[[#This Row],[Saldo Estoque]]*Tabela3[[#This Row],[Valor]]</f>
        <v>0</v>
      </c>
    </row>
    <row r="414" spans="1:8" x14ac:dyDescent="0.35">
      <c r="A414" s="1">
        <v>413</v>
      </c>
      <c r="F414" s="9">
        <f>SUMIFS(BDMovEstoque!C:C,BDMovEstoque!A:A,Tabela3[[#This Row],[Código]],BDMovEstoque!G:G,"Entrada")-SUMIFS(BDMovEstoque!C:C,BDMovEstoque!A:A,Tabela3[[#This Row],[Código]],BDMovEstoque!G:G,"Saída")</f>
        <v>0</v>
      </c>
      <c r="G414" t="str">
        <f>IF(Tabela3[[#This Row],[Saldo Estoque]]&lt;Tabela3[[#This Row],[Estoque Mínimo]],"Sim","")</f>
        <v/>
      </c>
      <c r="H414" s="33">
        <f>Tabela3[[#This Row],[Saldo Estoque]]*Tabela3[[#This Row],[Valor]]</f>
        <v>0</v>
      </c>
    </row>
    <row r="415" spans="1:8" x14ac:dyDescent="0.35">
      <c r="A415" s="1">
        <v>414</v>
      </c>
      <c r="F415" s="9">
        <f>SUMIFS(BDMovEstoque!C:C,BDMovEstoque!A:A,Tabela3[[#This Row],[Código]],BDMovEstoque!G:G,"Entrada")-SUMIFS(BDMovEstoque!C:C,BDMovEstoque!A:A,Tabela3[[#This Row],[Código]],BDMovEstoque!G:G,"Saída")</f>
        <v>0</v>
      </c>
      <c r="G415" t="str">
        <f>IF(Tabela3[[#This Row],[Saldo Estoque]]&lt;Tabela3[[#This Row],[Estoque Mínimo]],"Sim","")</f>
        <v/>
      </c>
      <c r="H415" s="33">
        <f>Tabela3[[#This Row],[Saldo Estoque]]*Tabela3[[#This Row],[Valor]]</f>
        <v>0</v>
      </c>
    </row>
    <row r="416" spans="1:8" x14ac:dyDescent="0.35">
      <c r="A416" s="1">
        <v>415</v>
      </c>
      <c r="F416" s="9">
        <f>SUMIFS(BDMovEstoque!C:C,BDMovEstoque!A:A,Tabela3[[#This Row],[Código]],BDMovEstoque!G:G,"Entrada")-SUMIFS(BDMovEstoque!C:C,BDMovEstoque!A:A,Tabela3[[#This Row],[Código]],BDMovEstoque!G:G,"Saída")</f>
        <v>0</v>
      </c>
      <c r="G416" t="str">
        <f>IF(Tabela3[[#This Row],[Saldo Estoque]]&lt;Tabela3[[#This Row],[Estoque Mínimo]],"Sim","")</f>
        <v/>
      </c>
      <c r="H416" s="33">
        <f>Tabela3[[#This Row],[Saldo Estoque]]*Tabela3[[#This Row],[Valor]]</f>
        <v>0</v>
      </c>
    </row>
    <row r="417" spans="1:8" x14ac:dyDescent="0.35">
      <c r="A417" s="1">
        <v>416</v>
      </c>
      <c r="F417" s="9">
        <f>SUMIFS(BDMovEstoque!C:C,BDMovEstoque!A:A,Tabela3[[#This Row],[Código]],BDMovEstoque!G:G,"Entrada")-SUMIFS(BDMovEstoque!C:C,BDMovEstoque!A:A,Tabela3[[#This Row],[Código]],BDMovEstoque!G:G,"Saída")</f>
        <v>0</v>
      </c>
      <c r="G417" t="str">
        <f>IF(Tabela3[[#This Row],[Saldo Estoque]]&lt;Tabela3[[#This Row],[Estoque Mínimo]],"Sim","")</f>
        <v/>
      </c>
      <c r="H417" s="33">
        <f>Tabela3[[#This Row],[Saldo Estoque]]*Tabela3[[#This Row],[Valor]]</f>
        <v>0</v>
      </c>
    </row>
    <row r="418" spans="1:8" x14ac:dyDescent="0.35">
      <c r="A418" s="1">
        <v>417</v>
      </c>
      <c r="F418" s="9">
        <f>SUMIFS(BDMovEstoque!C:C,BDMovEstoque!A:A,Tabela3[[#This Row],[Código]],BDMovEstoque!G:G,"Entrada")-SUMIFS(BDMovEstoque!C:C,BDMovEstoque!A:A,Tabela3[[#This Row],[Código]],BDMovEstoque!G:G,"Saída")</f>
        <v>0</v>
      </c>
      <c r="G418" t="str">
        <f>IF(Tabela3[[#This Row],[Saldo Estoque]]&lt;Tabela3[[#This Row],[Estoque Mínimo]],"Sim","")</f>
        <v/>
      </c>
      <c r="H418" s="33">
        <f>Tabela3[[#This Row],[Saldo Estoque]]*Tabela3[[#This Row],[Valor]]</f>
        <v>0</v>
      </c>
    </row>
    <row r="419" spans="1:8" x14ac:dyDescent="0.35">
      <c r="A419" s="1">
        <v>418</v>
      </c>
      <c r="F419" s="9">
        <f>SUMIFS(BDMovEstoque!C:C,BDMovEstoque!A:A,Tabela3[[#This Row],[Código]],BDMovEstoque!G:G,"Entrada")-SUMIFS(BDMovEstoque!C:C,BDMovEstoque!A:A,Tabela3[[#This Row],[Código]],BDMovEstoque!G:G,"Saída")</f>
        <v>0</v>
      </c>
      <c r="G419" t="str">
        <f>IF(Tabela3[[#This Row],[Saldo Estoque]]&lt;Tabela3[[#This Row],[Estoque Mínimo]],"Sim","")</f>
        <v/>
      </c>
      <c r="H419" s="33">
        <f>Tabela3[[#This Row],[Saldo Estoque]]*Tabela3[[#This Row],[Valor]]</f>
        <v>0</v>
      </c>
    </row>
    <row r="420" spans="1:8" x14ac:dyDescent="0.35">
      <c r="A420" s="1">
        <v>419</v>
      </c>
      <c r="F420" s="9">
        <f>SUMIFS(BDMovEstoque!C:C,BDMovEstoque!A:A,Tabela3[[#This Row],[Código]],BDMovEstoque!G:G,"Entrada")-SUMIFS(BDMovEstoque!C:C,BDMovEstoque!A:A,Tabela3[[#This Row],[Código]],BDMovEstoque!G:G,"Saída")</f>
        <v>0</v>
      </c>
      <c r="G420" t="str">
        <f>IF(Tabela3[[#This Row],[Saldo Estoque]]&lt;Tabela3[[#This Row],[Estoque Mínimo]],"Sim","")</f>
        <v/>
      </c>
      <c r="H420" s="33">
        <f>Tabela3[[#This Row],[Saldo Estoque]]*Tabela3[[#This Row],[Valor]]</f>
        <v>0</v>
      </c>
    </row>
    <row r="421" spans="1:8" x14ac:dyDescent="0.35">
      <c r="A421" s="1">
        <v>420</v>
      </c>
      <c r="F421" s="9">
        <f>SUMIFS(BDMovEstoque!C:C,BDMovEstoque!A:A,Tabela3[[#This Row],[Código]],BDMovEstoque!G:G,"Entrada")-SUMIFS(BDMovEstoque!C:C,BDMovEstoque!A:A,Tabela3[[#This Row],[Código]],BDMovEstoque!G:G,"Saída")</f>
        <v>0</v>
      </c>
      <c r="G421" t="str">
        <f>IF(Tabela3[[#This Row],[Saldo Estoque]]&lt;Tabela3[[#This Row],[Estoque Mínimo]],"Sim","")</f>
        <v/>
      </c>
      <c r="H421" s="33">
        <f>Tabela3[[#This Row],[Saldo Estoque]]*Tabela3[[#This Row],[Valor]]</f>
        <v>0</v>
      </c>
    </row>
    <row r="422" spans="1:8" x14ac:dyDescent="0.35">
      <c r="A422" s="1">
        <v>421</v>
      </c>
      <c r="F422" s="9">
        <f>SUMIFS(BDMovEstoque!C:C,BDMovEstoque!A:A,Tabela3[[#This Row],[Código]],BDMovEstoque!G:G,"Entrada")-SUMIFS(BDMovEstoque!C:C,BDMovEstoque!A:A,Tabela3[[#This Row],[Código]],BDMovEstoque!G:G,"Saída")</f>
        <v>0</v>
      </c>
      <c r="G422" t="str">
        <f>IF(Tabela3[[#This Row],[Saldo Estoque]]&lt;Tabela3[[#This Row],[Estoque Mínimo]],"Sim","")</f>
        <v/>
      </c>
      <c r="H422" s="33">
        <f>Tabela3[[#This Row],[Saldo Estoque]]*Tabela3[[#This Row],[Valor]]</f>
        <v>0</v>
      </c>
    </row>
    <row r="423" spans="1:8" x14ac:dyDescent="0.35">
      <c r="A423" s="1">
        <v>422</v>
      </c>
      <c r="F423" s="9">
        <f>SUMIFS(BDMovEstoque!C:C,BDMovEstoque!A:A,Tabela3[[#This Row],[Código]],BDMovEstoque!G:G,"Entrada")-SUMIFS(BDMovEstoque!C:C,BDMovEstoque!A:A,Tabela3[[#This Row],[Código]],BDMovEstoque!G:G,"Saída")</f>
        <v>0</v>
      </c>
      <c r="G423" t="str">
        <f>IF(Tabela3[[#This Row],[Saldo Estoque]]&lt;Tabela3[[#This Row],[Estoque Mínimo]],"Sim","")</f>
        <v/>
      </c>
      <c r="H423" s="33">
        <f>Tabela3[[#This Row],[Saldo Estoque]]*Tabela3[[#This Row],[Valor]]</f>
        <v>0</v>
      </c>
    </row>
    <row r="424" spans="1:8" x14ac:dyDescent="0.35">
      <c r="A424" s="1">
        <v>423</v>
      </c>
      <c r="F424" s="9">
        <f>SUMIFS(BDMovEstoque!C:C,BDMovEstoque!A:A,Tabela3[[#This Row],[Código]],BDMovEstoque!G:G,"Entrada")-SUMIFS(BDMovEstoque!C:C,BDMovEstoque!A:A,Tabela3[[#This Row],[Código]],BDMovEstoque!G:G,"Saída")</f>
        <v>0</v>
      </c>
      <c r="G424" t="str">
        <f>IF(Tabela3[[#This Row],[Saldo Estoque]]&lt;Tabela3[[#This Row],[Estoque Mínimo]],"Sim","")</f>
        <v/>
      </c>
      <c r="H424" s="33">
        <f>Tabela3[[#This Row],[Saldo Estoque]]*Tabela3[[#This Row],[Valor]]</f>
        <v>0</v>
      </c>
    </row>
    <row r="425" spans="1:8" x14ac:dyDescent="0.35">
      <c r="A425" s="1">
        <v>424</v>
      </c>
      <c r="F425" s="9">
        <f>SUMIFS(BDMovEstoque!C:C,BDMovEstoque!A:A,Tabela3[[#This Row],[Código]],BDMovEstoque!G:G,"Entrada")-SUMIFS(BDMovEstoque!C:C,BDMovEstoque!A:A,Tabela3[[#This Row],[Código]],BDMovEstoque!G:G,"Saída")</f>
        <v>0</v>
      </c>
      <c r="G425" t="str">
        <f>IF(Tabela3[[#This Row],[Saldo Estoque]]&lt;Tabela3[[#This Row],[Estoque Mínimo]],"Sim","")</f>
        <v/>
      </c>
      <c r="H425" s="33">
        <f>Tabela3[[#This Row],[Saldo Estoque]]*Tabela3[[#This Row],[Valor]]</f>
        <v>0</v>
      </c>
    </row>
    <row r="426" spans="1:8" x14ac:dyDescent="0.35">
      <c r="A426" s="1">
        <v>425</v>
      </c>
      <c r="F426" s="9">
        <f>SUMIFS(BDMovEstoque!C:C,BDMovEstoque!A:A,Tabela3[[#This Row],[Código]],BDMovEstoque!G:G,"Entrada")-SUMIFS(BDMovEstoque!C:C,BDMovEstoque!A:A,Tabela3[[#This Row],[Código]],BDMovEstoque!G:G,"Saída")</f>
        <v>0</v>
      </c>
      <c r="G426" t="str">
        <f>IF(Tabela3[[#This Row],[Saldo Estoque]]&lt;Tabela3[[#This Row],[Estoque Mínimo]],"Sim","")</f>
        <v/>
      </c>
      <c r="H426" s="33">
        <f>Tabela3[[#This Row],[Saldo Estoque]]*Tabela3[[#This Row],[Valor]]</f>
        <v>0</v>
      </c>
    </row>
    <row r="427" spans="1:8" x14ac:dyDescent="0.35">
      <c r="A427" s="1">
        <v>426</v>
      </c>
      <c r="F427" s="9">
        <f>SUMIFS(BDMovEstoque!C:C,BDMovEstoque!A:A,Tabela3[[#This Row],[Código]],BDMovEstoque!G:G,"Entrada")-SUMIFS(BDMovEstoque!C:C,BDMovEstoque!A:A,Tabela3[[#This Row],[Código]],BDMovEstoque!G:G,"Saída")</f>
        <v>0</v>
      </c>
      <c r="G427" t="str">
        <f>IF(Tabela3[[#This Row],[Saldo Estoque]]&lt;Tabela3[[#This Row],[Estoque Mínimo]],"Sim","")</f>
        <v/>
      </c>
      <c r="H427" s="33">
        <f>Tabela3[[#This Row],[Saldo Estoque]]*Tabela3[[#This Row],[Valor]]</f>
        <v>0</v>
      </c>
    </row>
    <row r="428" spans="1:8" x14ac:dyDescent="0.35">
      <c r="A428" s="1">
        <v>427</v>
      </c>
      <c r="F428" s="9">
        <f>SUMIFS(BDMovEstoque!C:C,BDMovEstoque!A:A,Tabela3[[#This Row],[Código]],BDMovEstoque!G:G,"Entrada")-SUMIFS(BDMovEstoque!C:C,BDMovEstoque!A:A,Tabela3[[#This Row],[Código]],BDMovEstoque!G:G,"Saída")</f>
        <v>0</v>
      </c>
      <c r="G428" t="str">
        <f>IF(Tabela3[[#This Row],[Saldo Estoque]]&lt;Tabela3[[#This Row],[Estoque Mínimo]],"Sim","")</f>
        <v/>
      </c>
      <c r="H428" s="33">
        <f>Tabela3[[#This Row],[Saldo Estoque]]*Tabela3[[#This Row],[Valor]]</f>
        <v>0</v>
      </c>
    </row>
    <row r="429" spans="1:8" x14ac:dyDescent="0.35">
      <c r="A429" s="1">
        <v>428</v>
      </c>
      <c r="F429" s="9">
        <f>SUMIFS(BDMovEstoque!C:C,BDMovEstoque!A:A,Tabela3[[#This Row],[Código]],BDMovEstoque!G:G,"Entrada")-SUMIFS(BDMovEstoque!C:C,BDMovEstoque!A:A,Tabela3[[#This Row],[Código]],BDMovEstoque!G:G,"Saída")</f>
        <v>0</v>
      </c>
      <c r="G429" t="str">
        <f>IF(Tabela3[[#This Row],[Saldo Estoque]]&lt;Tabela3[[#This Row],[Estoque Mínimo]],"Sim","")</f>
        <v/>
      </c>
      <c r="H429" s="33">
        <f>Tabela3[[#This Row],[Saldo Estoque]]*Tabela3[[#This Row],[Valor]]</f>
        <v>0</v>
      </c>
    </row>
    <row r="430" spans="1:8" x14ac:dyDescent="0.35">
      <c r="A430" s="1">
        <v>429</v>
      </c>
      <c r="F430" s="9">
        <f>SUMIFS(BDMovEstoque!C:C,BDMovEstoque!A:A,Tabela3[[#This Row],[Código]],BDMovEstoque!G:G,"Entrada")-SUMIFS(BDMovEstoque!C:C,BDMovEstoque!A:A,Tabela3[[#This Row],[Código]],BDMovEstoque!G:G,"Saída")</f>
        <v>0</v>
      </c>
      <c r="G430" t="str">
        <f>IF(Tabela3[[#This Row],[Saldo Estoque]]&lt;Tabela3[[#This Row],[Estoque Mínimo]],"Sim","")</f>
        <v/>
      </c>
      <c r="H430" s="33">
        <f>Tabela3[[#This Row],[Saldo Estoque]]*Tabela3[[#This Row],[Valor]]</f>
        <v>0</v>
      </c>
    </row>
    <row r="431" spans="1:8" x14ac:dyDescent="0.35">
      <c r="A431" s="1">
        <v>430</v>
      </c>
      <c r="F431" s="9">
        <f>SUMIFS(BDMovEstoque!C:C,BDMovEstoque!A:A,Tabela3[[#This Row],[Código]],BDMovEstoque!G:G,"Entrada")-SUMIFS(BDMovEstoque!C:C,BDMovEstoque!A:A,Tabela3[[#This Row],[Código]],BDMovEstoque!G:G,"Saída")</f>
        <v>0</v>
      </c>
      <c r="G431" t="str">
        <f>IF(Tabela3[[#This Row],[Saldo Estoque]]&lt;Tabela3[[#This Row],[Estoque Mínimo]],"Sim","")</f>
        <v/>
      </c>
      <c r="H431" s="33">
        <f>Tabela3[[#This Row],[Saldo Estoque]]*Tabela3[[#This Row],[Valor]]</f>
        <v>0</v>
      </c>
    </row>
    <row r="432" spans="1:8" x14ac:dyDescent="0.35">
      <c r="A432" s="1">
        <v>431</v>
      </c>
      <c r="F432" s="9">
        <f>SUMIFS(BDMovEstoque!C:C,BDMovEstoque!A:A,Tabela3[[#This Row],[Código]],BDMovEstoque!G:G,"Entrada")-SUMIFS(BDMovEstoque!C:C,BDMovEstoque!A:A,Tabela3[[#This Row],[Código]],BDMovEstoque!G:G,"Saída")</f>
        <v>0</v>
      </c>
      <c r="G432" t="str">
        <f>IF(Tabela3[[#This Row],[Saldo Estoque]]&lt;Tabela3[[#This Row],[Estoque Mínimo]],"Sim","")</f>
        <v/>
      </c>
      <c r="H432" s="33">
        <f>Tabela3[[#This Row],[Saldo Estoque]]*Tabela3[[#This Row],[Valor]]</f>
        <v>0</v>
      </c>
    </row>
    <row r="433" spans="1:8" x14ac:dyDescent="0.35">
      <c r="A433" s="1">
        <v>432</v>
      </c>
      <c r="F433" s="9">
        <f>SUMIFS(BDMovEstoque!C:C,BDMovEstoque!A:A,Tabela3[[#This Row],[Código]],BDMovEstoque!G:G,"Entrada")-SUMIFS(BDMovEstoque!C:C,BDMovEstoque!A:A,Tabela3[[#This Row],[Código]],BDMovEstoque!G:G,"Saída")</f>
        <v>0</v>
      </c>
      <c r="G433" t="str">
        <f>IF(Tabela3[[#This Row],[Saldo Estoque]]&lt;Tabela3[[#This Row],[Estoque Mínimo]],"Sim","")</f>
        <v/>
      </c>
      <c r="H433" s="33">
        <f>Tabela3[[#This Row],[Saldo Estoque]]*Tabela3[[#This Row],[Valor]]</f>
        <v>0</v>
      </c>
    </row>
    <row r="434" spans="1:8" x14ac:dyDescent="0.35">
      <c r="A434" s="1">
        <v>433</v>
      </c>
      <c r="F434" s="9">
        <f>SUMIFS(BDMovEstoque!C:C,BDMovEstoque!A:A,Tabela3[[#This Row],[Código]],BDMovEstoque!G:G,"Entrada")-SUMIFS(BDMovEstoque!C:C,BDMovEstoque!A:A,Tabela3[[#This Row],[Código]],BDMovEstoque!G:G,"Saída")</f>
        <v>0</v>
      </c>
      <c r="G434" t="str">
        <f>IF(Tabela3[[#This Row],[Saldo Estoque]]&lt;Tabela3[[#This Row],[Estoque Mínimo]],"Sim","")</f>
        <v/>
      </c>
      <c r="H434" s="33">
        <f>Tabela3[[#This Row],[Saldo Estoque]]*Tabela3[[#This Row],[Valor]]</f>
        <v>0</v>
      </c>
    </row>
    <row r="435" spans="1:8" x14ac:dyDescent="0.35">
      <c r="A435" s="1">
        <v>434</v>
      </c>
      <c r="F435" s="9">
        <f>SUMIFS(BDMovEstoque!C:C,BDMovEstoque!A:A,Tabela3[[#This Row],[Código]],BDMovEstoque!G:G,"Entrada")-SUMIFS(BDMovEstoque!C:C,BDMovEstoque!A:A,Tabela3[[#This Row],[Código]],BDMovEstoque!G:G,"Saída")</f>
        <v>0</v>
      </c>
      <c r="G435" t="str">
        <f>IF(Tabela3[[#This Row],[Saldo Estoque]]&lt;Tabela3[[#This Row],[Estoque Mínimo]],"Sim","")</f>
        <v/>
      </c>
      <c r="H435" s="33">
        <f>Tabela3[[#This Row],[Saldo Estoque]]*Tabela3[[#This Row],[Valor]]</f>
        <v>0</v>
      </c>
    </row>
    <row r="436" spans="1:8" x14ac:dyDescent="0.35">
      <c r="A436" s="1">
        <v>435</v>
      </c>
      <c r="F436" s="9">
        <f>SUMIFS(BDMovEstoque!C:C,BDMovEstoque!A:A,Tabela3[[#This Row],[Código]],BDMovEstoque!G:G,"Entrada")-SUMIFS(BDMovEstoque!C:C,BDMovEstoque!A:A,Tabela3[[#This Row],[Código]],BDMovEstoque!G:G,"Saída")</f>
        <v>0</v>
      </c>
      <c r="G436" t="str">
        <f>IF(Tabela3[[#This Row],[Saldo Estoque]]&lt;Tabela3[[#This Row],[Estoque Mínimo]],"Sim","")</f>
        <v/>
      </c>
      <c r="H436" s="33">
        <f>Tabela3[[#This Row],[Saldo Estoque]]*Tabela3[[#This Row],[Valor]]</f>
        <v>0</v>
      </c>
    </row>
    <row r="437" spans="1:8" x14ac:dyDescent="0.35">
      <c r="A437" s="1">
        <v>436</v>
      </c>
      <c r="F437" s="9">
        <f>SUMIFS(BDMovEstoque!C:C,BDMovEstoque!A:A,Tabela3[[#This Row],[Código]],BDMovEstoque!G:G,"Entrada")-SUMIFS(BDMovEstoque!C:C,BDMovEstoque!A:A,Tabela3[[#This Row],[Código]],BDMovEstoque!G:G,"Saída")</f>
        <v>0</v>
      </c>
      <c r="G437" t="str">
        <f>IF(Tabela3[[#This Row],[Saldo Estoque]]&lt;Tabela3[[#This Row],[Estoque Mínimo]],"Sim","")</f>
        <v/>
      </c>
      <c r="H437" s="33">
        <f>Tabela3[[#This Row],[Saldo Estoque]]*Tabela3[[#This Row],[Valor]]</f>
        <v>0</v>
      </c>
    </row>
    <row r="438" spans="1:8" x14ac:dyDescent="0.35">
      <c r="A438" s="1">
        <v>437</v>
      </c>
      <c r="F438" s="9">
        <f>SUMIFS(BDMovEstoque!C:C,BDMovEstoque!A:A,Tabela3[[#This Row],[Código]],BDMovEstoque!G:G,"Entrada")-SUMIFS(BDMovEstoque!C:C,BDMovEstoque!A:A,Tabela3[[#This Row],[Código]],BDMovEstoque!G:G,"Saída")</f>
        <v>0</v>
      </c>
      <c r="G438" t="str">
        <f>IF(Tabela3[[#This Row],[Saldo Estoque]]&lt;Tabela3[[#This Row],[Estoque Mínimo]],"Sim","")</f>
        <v/>
      </c>
      <c r="H438" s="33">
        <f>Tabela3[[#This Row],[Saldo Estoque]]*Tabela3[[#This Row],[Valor]]</f>
        <v>0</v>
      </c>
    </row>
    <row r="439" spans="1:8" x14ac:dyDescent="0.35">
      <c r="A439" s="1">
        <v>438</v>
      </c>
      <c r="F439" s="9">
        <f>SUMIFS(BDMovEstoque!C:C,BDMovEstoque!A:A,Tabela3[[#This Row],[Código]],BDMovEstoque!G:G,"Entrada")-SUMIFS(BDMovEstoque!C:C,BDMovEstoque!A:A,Tabela3[[#This Row],[Código]],BDMovEstoque!G:G,"Saída")</f>
        <v>0</v>
      </c>
      <c r="G439" t="str">
        <f>IF(Tabela3[[#This Row],[Saldo Estoque]]&lt;Tabela3[[#This Row],[Estoque Mínimo]],"Sim","")</f>
        <v/>
      </c>
      <c r="H439" s="33">
        <f>Tabela3[[#This Row],[Saldo Estoque]]*Tabela3[[#This Row],[Valor]]</f>
        <v>0</v>
      </c>
    </row>
    <row r="440" spans="1:8" x14ac:dyDescent="0.35">
      <c r="A440" s="1">
        <v>439</v>
      </c>
      <c r="F440" s="9">
        <f>SUMIFS(BDMovEstoque!C:C,BDMovEstoque!A:A,Tabela3[[#This Row],[Código]],BDMovEstoque!G:G,"Entrada")-SUMIFS(BDMovEstoque!C:C,BDMovEstoque!A:A,Tabela3[[#This Row],[Código]],BDMovEstoque!G:G,"Saída")</f>
        <v>0</v>
      </c>
      <c r="G440" t="str">
        <f>IF(Tabela3[[#This Row],[Saldo Estoque]]&lt;Tabela3[[#This Row],[Estoque Mínimo]],"Sim","")</f>
        <v/>
      </c>
      <c r="H440" s="33">
        <f>Tabela3[[#This Row],[Saldo Estoque]]*Tabela3[[#This Row],[Valor]]</f>
        <v>0</v>
      </c>
    </row>
    <row r="441" spans="1:8" x14ac:dyDescent="0.35">
      <c r="A441" s="1">
        <v>440</v>
      </c>
      <c r="F441" s="9">
        <f>SUMIFS(BDMovEstoque!C:C,BDMovEstoque!A:A,Tabela3[[#This Row],[Código]],BDMovEstoque!G:G,"Entrada")-SUMIFS(BDMovEstoque!C:C,BDMovEstoque!A:A,Tabela3[[#This Row],[Código]],BDMovEstoque!G:G,"Saída")</f>
        <v>0</v>
      </c>
      <c r="G441" t="str">
        <f>IF(Tabela3[[#This Row],[Saldo Estoque]]&lt;Tabela3[[#This Row],[Estoque Mínimo]],"Sim","")</f>
        <v/>
      </c>
      <c r="H441" s="33">
        <f>Tabela3[[#This Row],[Saldo Estoque]]*Tabela3[[#This Row],[Valor]]</f>
        <v>0</v>
      </c>
    </row>
    <row r="442" spans="1:8" x14ac:dyDescent="0.35">
      <c r="A442" s="1">
        <v>441</v>
      </c>
      <c r="F442" s="9">
        <f>SUMIFS(BDMovEstoque!C:C,BDMovEstoque!A:A,Tabela3[[#This Row],[Código]],BDMovEstoque!G:G,"Entrada")-SUMIFS(BDMovEstoque!C:C,BDMovEstoque!A:A,Tabela3[[#This Row],[Código]],BDMovEstoque!G:G,"Saída")</f>
        <v>0</v>
      </c>
      <c r="G442" t="str">
        <f>IF(Tabela3[[#This Row],[Saldo Estoque]]&lt;Tabela3[[#This Row],[Estoque Mínimo]],"Sim","")</f>
        <v/>
      </c>
      <c r="H442" s="33">
        <f>Tabela3[[#This Row],[Saldo Estoque]]*Tabela3[[#This Row],[Valor]]</f>
        <v>0</v>
      </c>
    </row>
    <row r="443" spans="1:8" x14ac:dyDescent="0.35">
      <c r="A443" s="1">
        <v>442</v>
      </c>
      <c r="F443" s="9">
        <f>SUMIFS(BDMovEstoque!C:C,BDMovEstoque!A:A,Tabela3[[#This Row],[Código]],BDMovEstoque!G:G,"Entrada")-SUMIFS(BDMovEstoque!C:C,BDMovEstoque!A:A,Tabela3[[#This Row],[Código]],BDMovEstoque!G:G,"Saída")</f>
        <v>0</v>
      </c>
      <c r="G443" t="str">
        <f>IF(Tabela3[[#This Row],[Saldo Estoque]]&lt;Tabela3[[#This Row],[Estoque Mínimo]],"Sim","")</f>
        <v/>
      </c>
      <c r="H443" s="33">
        <f>Tabela3[[#This Row],[Saldo Estoque]]*Tabela3[[#This Row],[Valor]]</f>
        <v>0</v>
      </c>
    </row>
    <row r="444" spans="1:8" x14ac:dyDescent="0.35">
      <c r="A444" s="1">
        <v>443</v>
      </c>
      <c r="F444" s="9">
        <f>SUMIFS(BDMovEstoque!C:C,BDMovEstoque!A:A,Tabela3[[#This Row],[Código]],BDMovEstoque!G:G,"Entrada")-SUMIFS(BDMovEstoque!C:C,BDMovEstoque!A:A,Tabela3[[#This Row],[Código]],BDMovEstoque!G:G,"Saída")</f>
        <v>0</v>
      </c>
      <c r="G444" t="str">
        <f>IF(Tabela3[[#This Row],[Saldo Estoque]]&lt;Tabela3[[#This Row],[Estoque Mínimo]],"Sim","")</f>
        <v/>
      </c>
      <c r="H444" s="33">
        <f>Tabela3[[#This Row],[Saldo Estoque]]*Tabela3[[#This Row],[Valor]]</f>
        <v>0</v>
      </c>
    </row>
    <row r="445" spans="1:8" x14ac:dyDescent="0.35">
      <c r="A445" s="1">
        <v>444</v>
      </c>
      <c r="F445" s="9">
        <f>SUMIFS(BDMovEstoque!C:C,BDMovEstoque!A:A,Tabela3[[#This Row],[Código]],BDMovEstoque!G:G,"Entrada")-SUMIFS(BDMovEstoque!C:C,BDMovEstoque!A:A,Tabela3[[#This Row],[Código]],BDMovEstoque!G:G,"Saída")</f>
        <v>0</v>
      </c>
      <c r="G445" t="str">
        <f>IF(Tabela3[[#This Row],[Saldo Estoque]]&lt;Tabela3[[#This Row],[Estoque Mínimo]],"Sim","")</f>
        <v/>
      </c>
      <c r="H445" s="33">
        <f>Tabela3[[#This Row],[Saldo Estoque]]*Tabela3[[#This Row],[Valor]]</f>
        <v>0</v>
      </c>
    </row>
    <row r="446" spans="1:8" x14ac:dyDescent="0.35">
      <c r="A446" s="1">
        <v>445</v>
      </c>
      <c r="F446" s="9">
        <f>SUMIFS(BDMovEstoque!C:C,BDMovEstoque!A:A,Tabela3[[#This Row],[Código]],BDMovEstoque!G:G,"Entrada")-SUMIFS(BDMovEstoque!C:C,BDMovEstoque!A:A,Tabela3[[#This Row],[Código]],BDMovEstoque!G:G,"Saída")</f>
        <v>0</v>
      </c>
      <c r="G446" t="str">
        <f>IF(Tabela3[[#This Row],[Saldo Estoque]]&lt;Tabela3[[#This Row],[Estoque Mínimo]],"Sim","")</f>
        <v/>
      </c>
      <c r="H446" s="33">
        <f>Tabela3[[#This Row],[Saldo Estoque]]*Tabela3[[#This Row],[Valor]]</f>
        <v>0</v>
      </c>
    </row>
    <row r="447" spans="1:8" x14ac:dyDescent="0.35">
      <c r="A447" s="1">
        <v>446</v>
      </c>
      <c r="F447" s="9">
        <f>SUMIFS(BDMovEstoque!C:C,BDMovEstoque!A:A,Tabela3[[#This Row],[Código]],BDMovEstoque!G:G,"Entrada")-SUMIFS(BDMovEstoque!C:C,BDMovEstoque!A:A,Tabela3[[#This Row],[Código]],BDMovEstoque!G:G,"Saída")</f>
        <v>0</v>
      </c>
      <c r="G447" t="str">
        <f>IF(Tabela3[[#This Row],[Saldo Estoque]]&lt;Tabela3[[#This Row],[Estoque Mínimo]],"Sim","")</f>
        <v/>
      </c>
      <c r="H447" s="33">
        <f>Tabela3[[#This Row],[Saldo Estoque]]*Tabela3[[#This Row],[Valor]]</f>
        <v>0</v>
      </c>
    </row>
    <row r="448" spans="1:8" x14ac:dyDescent="0.35">
      <c r="A448" s="1">
        <v>447</v>
      </c>
      <c r="F448" s="9">
        <f>SUMIFS(BDMovEstoque!C:C,BDMovEstoque!A:A,Tabela3[[#This Row],[Código]],BDMovEstoque!G:G,"Entrada")-SUMIFS(BDMovEstoque!C:C,BDMovEstoque!A:A,Tabela3[[#This Row],[Código]],BDMovEstoque!G:G,"Saída")</f>
        <v>0</v>
      </c>
      <c r="G448" t="str">
        <f>IF(Tabela3[[#This Row],[Saldo Estoque]]&lt;Tabela3[[#This Row],[Estoque Mínimo]],"Sim","")</f>
        <v/>
      </c>
      <c r="H448" s="33">
        <f>Tabela3[[#This Row],[Saldo Estoque]]*Tabela3[[#This Row],[Valor]]</f>
        <v>0</v>
      </c>
    </row>
    <row r="449" spans="1:8" x14ac:dyDescent="0.35">
      <c r="A449" s="1">
        <v>448</v>
      </c>
      <c r="F449" s="9">
        <f>SUMIFS(BDMovEstoque!C:C,BDMovEstoque!A:A,Tabela3[[#This Row],[Código]],BDMovEstoque!G:G,"Entrada")-SUMIFS(BDMovEstoque!C:C,BDMovEstoque!A:A,Tabela3[[#This Row],[Código]],BDMovEstoque!G:G,"Saída")</f>
        <v>0</v>
      </c>
      <c r="G449" t="str">
        <f>IF(Tabela3[[#This Row],[Saldo Estoque]]&lt;Tabela3[[#This Row],[Estoque Mínimo]],"Sim","")</f>
        <v/>
      </c>
      <c r="H449" s="33">
        <f>Tabela3[[#This Row],[Saldo Estoque]]*Tabela3[[#This Row],[Valor]]</f>
        <v>0</v>
      </c>
    </row>
    <row r="450" spans="1:8" x14ac:dyDescent="0.35">
      <c r="A450" s="1">
        <v>449</v>
      </c>
      <c r="F450" s="9">
        <f>SUMIFS(BDMovEstoque!C:C,BDMovEstoque!A:A,Tabela3[[#This Row],[Código]],BDMovEstoque!G:G,"Entrada")-SUMIFS(BDMovEstoque!C:C,BDMovEstoque!A:A,Tabela3[[#This Row],[Código]],BDMovEstoque!G:G,"Saída")</f>
        <v>0</v>
      </c>
      <c r="G450" t="str">
        <f>IF(Tabela3[[#This Row],[Saldo Estoque]]&lt;Tabela3[[#This Row],[Estoque Mínimo]],"Sim","")</f>
        <v/>
      </c>
      <c r="H450" s="33">
        <f>Tabela3[[#This Row],[Saldo Estoque]]*Tabela3[[#This Row],[Valor]]</f>
        <v>0</v>
      </c>
    </row>
    <row r="451" spans="1:8" x14ac:dyDescent="0.35">
      <c r="A451" s="1">
        <v>450</v>
      </c>
      <c r="F451" s="9">
        <f>SUMIFS(BDMovEstoque!C:C,BDMovEstoque!A:A,Tabela3[[#This Row],[Código]],BDMovEstoque!G:G,"Entrada")-SUMIFS(BDMovEstoque!C:C,BDMovEstoque!A:A,Tabela3[[#This Row],[Código]],BDMovEstoque!G:G,"Saída")</f>
        <v>0</v>
      </c>
      <c r="G451" t="str">
        <f>IF(Tabela3[[#This Row],[Saldo Estoque]]&lt;Tabela3[[#This Row],[Estoque Mínimo]],"Sim","")</f>
        <v/>
      </c>
      <c r="H451" s="33">
        <f>Tabela3[[#This Row],[Saldo Estoque]]*Tabela3[[#This Row],[Valor]]</f>
        <v>0</v>
      </c>
    </row>
    <row r="452" spans="1:8" x14ac:dyDescent="0.35">
      <c r="A452" s="1">
        <v>451</v>
      </c>
      <c r="F452" s="9">
        <f>SUMIFS(BDMovEstoque!C:C,BDMovEstoque!A:A,Tabela3[[#This Row],[Código]],BDMovEstoque!G:G,"Entrada")-SUMIFS(BDMovEstoque!C:C,BDMovEstoque!A:A,Tabela3[[#This Row],[Código]],BDMovEstoque!G:G,"Saída")</f>
        <v>0</v>
      </c>
      <c r="G452" t="str">
        <f>IF(Tabela3[[#This Row],[Saldo Estoque]]&lt;Tabela3[[#This Row],[Estoque Mínimo]],"Sim","")</f>
        <v/>
      </c>
      <c r="H452" s="33">
        <f>Tabela3[[#This Row],[Saldo Estoque]]*Tabela3[[#This Row],[Valor]]</f>
        <v>0</v>
      </c>
    </row>
    <row r="453" spans="1:8" x14ac:dyDescent="0.35">
      <c r="A453" s="1">
        <v>452</v>
      </c>
      <c r="F453" s="9">
        <f>SUMIFS(BDMovEstoque!C:C,BDMovEstoque!A:A,Tabela3[[#This Row],[Código]],BDMovEstoque!G:G,"Entrada")-SUMIFS(BDMovEstoque!C:C,BDMovEstoque!A:A,Tabela3[[#This Row],[Código]],BDMovEstoque!G:G,"Saída")</f>
        <v>0</v>
      </c>
      <c r="G453" t="str">
        <f>IF(Tabela3[[#This Row],[Saldo Estoque]]&lt;Tabela3[[#This Row],[Estoque Mínimo]],"Sim","")</f>
        <v/>
      </c>
      <c r="H453" s="33">
        <f>Tabela3[[#This Row],[Saldo Estoque]]*Tabela3[[#This Row],[Valor]]</f>
        <v>0</v>
      </c>
    </row>
    <row r="454" spans="1:8" x14ac:dyDescent="0.35">
      <c r="A454" s="1">
        <v>453</v>
      </c>
      <c r="F454" s="9">
        <f>SUMIFS(BDMovEstoque!C:C,BDMovEstoque!A:A,Tabela3[[#This Row],[Código]],BDMovEstoque!G:G,"Entrada")-SUMIFS(BDMovEstoque!C:C,BDMovEstoque!A:A,Tabela3[[#This Row],[Código]],BDMovEstoque!G:G,"Saída")</f>
        <v>0</v>
      </c>
      <c r="G454" t="str">
        <f>IF(Tabela3[[#This Row],[Saldo Estoque]]&lt;Tabela3[[#This Row],[Estoque Mínimo]],"Sim","")</f>
        <v/>
      </c>
      <c r="H454" s="33">
        <f>Tabela3[[#This Row],[Saldo Estoque]]*Tabela3[[#This Row],[Valor]]</f>
        <v>0</v>
      </c>
    </row>
    <row r="455" spans="1:8" x14ac:dyDescent="0.35">
      <c r="A455" s="1">
        <v>454</v>
      </c>
      <c r="F455" s="9">
        <f>SUMIFS(BDMovEstoque!C:C,BDMovEstoque!A:A,Tabela3[[#This Row],[Código]],BDMovEstoque!G:G,"Entrada")-SUMIFS(BDMovEstoque!C:C,BDMovEstoque!A:A,Tabela3[[#This Row],[Código]],BDMovEstoque!G:G,"Saída")</f>
        <v>0</v>
      </c>
      <c r="G455" t="str">
        <f>IF(Tabela3[[#This Row],[Saldo Estoque]]&lt;Tabela3[[#This Row],[Estoque Mínimo]],"Sim","")</f>
        <v/>
      </c>
      <c r="H455" s="33">
        <f>Tabela3[[#This Row],[Saldo Estoque]]*Tabela3[[#This Row],[Valor]]</f>
        <v>0</v>
      </c>
    </row>
    <row r="456" spans="1:8" x14ac:dyDescent="0.35">
      <c r="A456" s="1">
        <v>455</v>
      </c>
      <c r="F456" s="9">
        <f>SUMIFS(BDMovEstoque!C:C,BDMovEstoque!A:A,Tabela3[[#This Row],[Código]],BDMovEstoque!G:G,"Entrada")-SUMIFS(BDMovEstoque!C:C,BDMovEstoque!A:A,Tabela3[[#This Row],[Código]],BDMovEstoque!G:G,"Saída")</f>
        <v>0</v>
      </c>
      <c r="G456" t="str">
        <f>IF(Tabela3[[#This Row],[Saldo Estoque]]&lt;Tabela3[[#This Row],[Estoque Mínimo]],"Sim","")</f>
        <v/>
      </c>
      <c r="H456" s="33">
        <f>Tabela3[[#This Row],[Saldo Estoque]]*Tabela3[[#This Row],[Valor]]</f>
        <v>0</v>
      </c>
    </row>
    <row r="457" spans="1:8" x14ac:dyDescent="0.35">
      <c r="A457" s="1">
        <v>456</v>
      </c>
      <c r="F457" s="9">
        <f>SUMIFS(BDMovEstoque!C:C,BDMovEstoque!A:A,Tabela3[[#This Row],[Código]],BDMovEstoque!G:G,"Entrada")-SUMIFS(BDMovEstoque!C:C,BDMovEstoque!A:A,Tabela3[[#This Row],[Código]],BDMovEstoque!G:G,"Saída")</f>
        <v>0</v>
      </c>
      <c r="G457" t="str">
        <f>IF(Tabela3[[#This Row],[Saldo Estoque]]&lt;Tabela3[[#This Row],[Estoque Mínimo]],"Sim","")</f>
        <v/>
      </c>
      <c r="H457" s="33">
        <f>Tabela3[[#This Row],[Saldo Estoque]]*Tabela3[[#This Row],[Valor]]</f>
        <v>0</v>
      </c>
    </row>
    <row r="458" spans="1:8" x14ac:dyDescent="0.35">
      <c r="A458" s="1">
        <v>457</v>
      </c>
      <c r="F458" s="9">
        <f>SUMIFS(BDMovEstoque!C:C,BDMovEstoque!A:A,Tabela3[[#This Row],[Código]],BDMovEstoque!G:G,"Entrada")-SUMIFS(BDMovEstoque!C:C,BDMovEstoque!A:A,Tabela3[[#This Row],[Código]],BDMovEstoque!G:G,"Saída")</f>
        <v>0</v>
      </c>
      <c r="G458" t="str">
        <f>IF(Tabela3[[#This Row],[Saldo Estoque]]&lt;Tabela3[[#This Row],[Estoque Mínimo]],"Sim","")</f>
        <v/>
      </c>
      <c r="H458" s="33">
        <f>Tabela3[[#This Row],[Saldo Estoque]]*Tabela3[[#This Row],[Valor]]</f>
        <v>0</v>
      </c>
    </row>
    <row r="459" spans="1:8" x14ac:dyDescent="0.35">
      <c r="A459" s="1">
        <v>458</v>
      </c>
      <c r="F459" s="9">
        <f>SUMIFS(BDMovEstoque!C:C,BDMovEstoque!A:A,Tabela3[[#This Row],[Código]],BDMovEstoque!G:G,"Entrada")-SUMIFS(BDMovEstoque!C:C,BDMovEstoque!A:A,Tabela3[[#This Row],[Código]],BDMovEstoque!G:G,"Saída")</f>
        <v>0</v>
      </c>
      <c r="G459" t="str">
        <f>IF(Tabela3[[#This Row],[Saldo Estoque]]&lt;Tabela3[[#This Row],[Estoque Mínimo]],"Sim","")</f>
        <v/>
      </c>
      <c r="H459" s="33">
        <f>Tabela3[[#This Row],[Saldo Estoque]]*Tabela3[[#This Row],[Valor]]</f>
        <v>0</v>
      </c>
    </row>
    <row r="460" spans="1:8" x14ac:dyDescent="0.35">
      <c r="A460" s="1">
        <v>459</v>
      </c>
      <c r="F460" s="9">
        <f>SUMIFS(BDMovEstoque!C:C,BDMovEstoque!A:A,Tabela3[[#This Row],[Código]],BDMovEstoque!G:G,"Entrada")-SUMIFS(BDMovEstoque!C:C,BDMovEstoque!A:A,Tabela3[[#This Row],[Código]],BDMovEstoque!G:G,"Saída")</f>
        <v>0</v>
      </c>
      <c r="G460" t="str">
        <f>IF(Tabela3[[#This Row],[Saldo Estoque]]&lt;Tabela3[[#This Row],[Estoque Mínimo]],"Sim","")</f>
        <v/>
      </c>
      <c r="H460" s="33">
        <f>Tabela3[[#This Row],[Saldo Estoque]]*Tabela3[[#This Row],[Valor]]</f>
        <v>0</v>
      </c>
    </row>
    <row r="461" spans="1:8" x14ac:dyDescent="0.35">
      <c r="A461" s="1">
        <v>460</v>
      </c>
      <c r="F461" s="9">
        <f>SUMIFS(BDMovEstoque!C:C,BDMovEstoque!A:A,Tabela3[[#This Row],[Código]],BDMovEstoque!G:G,"Entrada")-SUMIFS(BDMovEstoque!C:C,BDMovEstoque!A:A,Tabela3[[#This Row],[Código]],BDMovEstoque!G:G,"Saída")</f>
        <v>0</v>
      </c>
      <c r="G461" t="str">
        <f>IF(Tabela3[[#This Row],[Saldo Estoque]]&lt;Tabela3[[#This Row],[Estoque Mínimo]],"Sim","")</f>
        <v/>
      </c>
      <c r="H461" s="33">
        <f>Tabela3[[#This Row],[Saldo Estoque]]*Tabela3[[#This Row],[Valor]]</f>
        <v>0</v>
      </c>
    </row>
    <row r="462" spans="1:8" x14ac:dyDescent="0.35">
      <c r="A462" s="1">
        <v>461</v>
      </c>
      <c r="F462" s="9">
        <f>SUMIFS(BDMovEstoque!C:C,BDMovEstoque!A:A,Tabela3[[#This Row],[Código]],BDMovEstoque!G:G,"Entrada")-SUMIFS(BDMovEstoque!C:C,BDMovEstoque!A:A,Tabela3[[#This Row],[Código]],BDMovEstoque!G:G,"Saída")</f>
        <v>0</v>
      </c>
      <c r="G462" t="str">
        <f>IF(Tabela3[[#This Row],[Saldo Estoque]]&lt;Tabela3[[#This Row],[Estoque Mínimo]],"Sim","")</f>
        <v/>
      </c>
      <c r="H462" s="33">
        <f>Tabela3[[#This Row],[Saldo Estoque]]*Tabela3[[#This Row],[Valor]]</f>
        <v>0</v>
      </c>
    </row>
    <row r="463" spans="1:8" x14ac:dyDescent="0.35">
      <c r="A463" s="1">
        <v>462</v>
      </c>
      <c r="F463" s="9">
        <f>SUMIFS(BDMovEstoque!C:C,BDMovEstoque!A:A,Tabela3[[#This Row],[Código]],BDMovEstoque!G:G,"Entrada")-SUMIFS(BDMovEstoque!C:C,BDMovEstoque!A:A,Tabela3[[#This Row],[Código]],BDMovEstoque!G:G,"Saída")</f>
        <v>0</v>
      </c>
      <c r="G463" t="str">
        <f>IF(Tabela3[[#This Row],[Saldo Estoque]]&lt;Tabela3[[#This Row],[Estoque Mínimo]],"Sim","")</f>
        <v/>
      </c>
      <c r="H463" s="33">
        <f>Tabela3[[#This Row],[Saldo Estoque]]*Tabela3[[#This Row],[Valor]]</f>
        <v>0</v>
      </c>
    </row>
    <row r="464" spans="1:8" x14ac:dyDescent="0.35">
      <c r="A464" s="1">
        <v>463</v>
      </c>
      <c r="F464" s="9">
        <f>SUMIFS(BDMovEstoque!C:C,BDMovEstoque!A:A,Tabela3[[#This Row],[Código]],BDMovEstoque!G:G,"Entrada")-SUMIFS(BDMovEstoque!C:C,BDMovEstoque!A:A,Tabela3[[#This Row],[Código]],BDMovEstoque!G:G,"Saída")</f>
        <v>0</v>
      </c>
      <c r="G464" t="str">
        <f>IF(Tabela3[[#This Row],[Saldo Estoque]]&lt;Tabela3[[#This Row],[Estoque Mínimo]],"Sim","")</f>
        <v/>
      </c>
      <c r="H464" s="33">
        <f>Tabela3[[#This Row],[Saldo Estoque]]*Tabela3[[#This Row],[Valor]]</f>
        <v>0</v>
      </c>
    </row>
    <row r="465" spans="1:8" x14ac:dyDescent="0.35">
      <c r="A465" s="1">
        <v>464</v>
      </c>
      <c r="F465" s="9">
        <f>SUMIFS(BDMovEstoque!C:C,BDMovEstoque!A:A,Tabela3[[#This Row],[Código]],BDMovEstoque!G:G,"Entrada")-SUMIFS(BDMovEstoque!C:C,BDMovEstoque!A:A,Tabela3[[#This Row],[Código]],BDMovEstoque!G:G,"Saída")</f>
        <v>0</v>
      </c>
      <c r="G465" t="str">
        <f>IF(Tabela3[[#This Row],[Saldo Estoque]]&lt;Tabela3[[#This Row],[Estoque Mínimo]],"Sim","")</f>
        <v/>
      </c>
      <c r="H465" s="33">
        <f>Tabela3[[#This Row],[Saldo Estoque]]*Tabela3[[#This Row],[Valor]]</f>
        <v>0</v>
      </c>
    </row>
    <row r="466" spans="1:8" x14ac:dyDescent="0.35">
      <c r="A466" s="1">
        <v>465</v>
      </c>
      <c r="F466" s="9">
        <f>SUMIFS(BDMovEstoque!C:C,BDMovEstoque!A:A,Tabela3[[#This Row],[Código]],BDMovEstoque!G:G,"Entrada")-SUMIFS(BDMovEstoque!C:C,BDMovEstoque!A:A,Tabela3[[#This Row],[Código]],BDMovEstoque!G:G,"Saída")</f>
        <v>0</v>
      </c>
      <c r="G466" t="str">
        <f>IF(Tabela3[[#This Row],[Saldo Estoque]]&lt;Tabela3[[#This Row],[Estoque Mínimo]],"Sim","")</f>
        <v/>
      </c>
      <c r="H466" s="33">
        <f>Tabela3[[#This Row],[Saldo Estoque]]*Tabela3[[#This Row],[Valor]]</f>
        <v>0</v>
      </c>
    </row>
    <row r="467" spans="1:8" x14ac:dyDescent="0.35">
      <c r="A467" s="1">
        <v>466</v>
      </c>
      <c r="F467" s="9">
        <f>SUMIFS(BDMovEstoque!C:C,BDMovEstoque!A:A,Tabela3[[#This Row],[Código]],BDMovEstoque!G:G,"Entrada")-SUMIFS(BDMovEstoque!C:C,BDMovEstoque!A:A,Tabela3[[#This Row],[Código]],BDMovEstoque!G:G,"Saída")</f>
        <v>0</v>
      </c>
      <c r="G467" t="str">
        <f>IF(Tabela3[[#This Row],[Saldo Estoque]]&lt;Tabela3[[#This Row],[Estoque Mínimo]],"Sim","")</f>
        <v/>
      </c>
      <c r="H467" s="33">
        <f>Tabela3[[#This Row],[Saldo Estoque]]*Tabela3[[#This Row],[Valor]]</f>
        <v>0</v>
      </c>
    </row>
    <row r="468" spans="1:8" x14ac:dyDescent="0.35">
      <c r="A468" s="1">
        <v>467</v>
      </c>
      <c r="F468" s="9">
        <f>SUMIFS(BDMovEstoque!C:C,BDMovEstoque!A:A,Tabela3[[#This Row],[Código]],BDMovEstoque!G:G,"Entrada")-SUMIFS(BDMovEstoque!C:C,BDMovEstoque!A:A,Tabela3[[#This Row],[Código]],BDMovEstoque!G:G,"Saída")</f>
        <v>0</v>
      </c>
      <c r="G468" t="str">
        <f>IF(Tabela3[[#This Row],[Saldo Estoque]]&lt;Tabela3[[#This Row],[Estoque Mínimo]],"Sim","")</f>
        <v/>
      </c>
      <c r="H468" s="33">
        <f>Tabela3[[#This Row],[Saldo Estoque]]*Tabela3[[#This Row],[Valor]]</f>
        <v>0</v>
      </c>
    </row>
    <row r="469" spans="1:8" x14ac:dyDescent="0.35">
      <c r="A469" s="1">
        <v>468</v>
      </c>
      <c r="F469" s="9">
        <f>SUMIFS(BDMovEstoque!C:C,BDMovEstoque!A:A,Tabela3[[#This Row],[Código]],BDMovEstoque!G:G,"Entrada")-SUMIFS(BDMovEstoque!C:C,BDMovEstoque!A:A,Tabela3[[#This Row],[Código]],BDMovEstoque!G:G,"Saída")</f>
        <v>0</v>
      </c>
      <c r="G469" t="str">
        <f>IF(Tabela3[[#This Row],[Saldo Estoque]]&lt;Tabela3[[#This Row],[Estoque Mínimo]],"Sim","")</f>
        <v/>
      </c>
      <c r="H469" s="33">
        <f>Tabela3[[#This Row],[Saldo Estoque]]*Tabela3[[#This Row],[Valor]]</f>
        <v>0</v>
      </c>
    </row>
    <row r="470" spans="1:8" x14ac:dyDescent="0.35">
      <c r="A470" s="1">
        <v>469</v>
      </c>
      <c r="F470" s="9">
        <f>SUMIFS(BDMovEstoque!C:C,BDMovEstoque!A:A,Tabela3[[#This Row],[Código]],BDMovEstoque!G:G,"Entrada")-SUMIFS(BDMovEstoque!C:C,BDMovEstoque!A:A,Tabela3[[#This Row],[Código]],BDMovEstoque!G:G,"Saída")</f>
        <v>0</v>
      </c>
      <c r="G470" t="str">
        <f>IF(Tabela3[[#This Row],[Saldo Estoque]]&lt;Tabela3[[#This Row],[Estoque Mínimo]],"Sim","")</f>
        <v/>
      </c>
      <c r="H470" s="33">
        <f>Tabela3[[#This Row],[Saldo Estoque]]*Tabela3[[#This Row],[Valor]]</f>
        <v>0</v>
      </c>
    </row>
    <row r="471" spans="1:8" x14ac:dyDescent="0.35">
      <c r="A471" s="1">
        <v>470</v>
      </c>
      <c r="F471" s="9">
        <f>SUMIFS(BDMovEstoque!C:C,BDMovEstoque!A:A,Tabela3[[#This Row],[Código]],BDMovEstoque!G:G,"Entrada")-SUMIFS(BDMovEstoque!C:C,BDMovEstoque!A:A,Tabela3[[#This Row],[Código]],BDMovEstoque!G:G,"Saída")</f>
        <v>0</v>
      </c>
      <c r="G471" t="str">
        <f>IF(Tabela3[[#This Row],[Saldo Estoque]]&lt;Tabela3[[#This Row],[Estoque Mínimo]],"Sim","")</f>
        <v/>
      </c>
      <c r="H471" s="33">
        <f>Tabela3[[#This Row],[Saldo Estoque]]*Tabela3[[#This Row],[Valor]]</f>
        <v>0</v>
      </c>
    </row>
    <row r="472" spans="1:8" x14ac:dyDescent="0.35">
      <c r="A472" s="1">
        <v>471</v>
      </c>
      <c r="F472" s="9">
        <f>SUMIFS(BDMovEstoque!C:C,BDMovEstoque!A:A,Tabela3[[#This Row],[Código]],BDMovEstoque!G:G,"Entrada")-SUMIFS(BDMovEstoque!C:C,BDMovEstoque!A:A,Tabela3[[#This Row],[Código]],BDMovEstoque!G:G,"Saída")</f>
        <v>0</v>
      </c>
      <c r="G472" t="str">
        <f>IF(Tabela3[[#This Row],[Saldo Estoque]]&lt;Tabela3[[#This Row],[Estoque Mínimo]],"Sim","")</f>
        <v/>
      </c>
      <c r="H472" s="33">
        <f>Tabela3[[#This Row],[Saldo Estoque]]*Tabela3[[#This Row],[Valor]]</f>
        <v>0</v>
      </c>
    </row>
    <row r="473" spans="1:8" x14ac:dyDescent="0.35">
      <c r="A473" s="1">
        <v>472</v>
      </c>
      <c r="F473" s="9">
        <f>SUMIFS(BDMovEstoque!C:C,BDMovEstoque!A:A,Tabela3[[#This Row],[Código]],BDMovEstoque!G:G,"Entrada")-SUMIFS(BDMovEstoque!C:C,BDMovEstoque!A:A,Tabela3[[#This Row],[Código]],BDMovEstoque!G:G,"Saída")</f>
        <v>0</v>
      </c>
      <c r="G473" t="str">
        <f>IF(Tabela3[[#This Row],[Saldo Estoque]]&lt;Tabela3[[#This Row],[Estoque Mínimo]],"Sim","")</f>
        <v/>
      </c>
      <c r="H473" s="33">
        <f>Tabela3[[#This Row],[Saldo Estoque]]*Tabela3[[#This Row],[Valor]]</f>
        <v>0</v>
      </c>
    </row>
    <row r="474" spans="1:8" x14ac:dyDescent="0.35">
      <c r="A474" s="1">
        <v>473</v>
      </c>
      <c r="F474" s="9">
        <f>SUMIFS(BDMovEstoque!C:C,BDMovEstoque!A:A,Tabela3[[#This Row],[Código]],BDMovEstoque!G:G,"Entrada")-SUMIFS(BDMovEstoque!C:C,BDMovEstoque!A:A,Tabela3[[#This Row],[Código]],BDMovEstoque!G:G,"Saída")</f>
        <v>0</v>
      </c>
      <c r="G474" t="str">
        <f>IF(Tabela3[[#This Row],[Saldo Estoque]]&lt;Tabela3[[#This Row],[Estoque Mínimo]],"Sim","")</f>
        <v/>
      </c>
      <c r="H474" s="33">
        <f>Tabela3[[#This Row],[Saldo Estoque]]*Tabela3[[#This Row],[Valor]]</f>
        <v>0</v>
      </c>
    </row>
    <row r="475" spans="1:8" x14ac:dyDescent="0.35">
      <c r="A475" s="1">
        <v>474</v>
      </c>
      <c r="F475" s="9">
        <f>SUMIFS(BDMovEstoque!C:C,BDMovEstoque!A:A,Tabela3[[#This Row],[Código]],BDMovEstoque!G:G,"Entrada")-SUMIFS(BDMovEstoque!C:C,BDMovEstoque!A:A,Tabela3[[#This Row],[Código]],BDMovEstoque!G:G,"Saída")</f>
        <v>0</v>
      </c>
      <c r="G475" t="str">
        <f>IF(Tabela3[[#This Row],[Saldo Estoque]]&lt;Tabela3[[#This Row],[Estoque Mínimo]],"Sim","")</f>
        <v/>
      </c>
      <c r="H475" s="33">
        <f>Tabela3[[#This Row],[Saldo Estoque]]*Tabela3[[#This Row],[Valor]]</f>
        <v>0</v>
      </c>
    </row>
    <row r="476" spans="1:8" x14ac:dyDescent="0.35">
      <c r="A476" s="1">
        <v>475</v>
      </c>
      <c r="F476" s="9">
        <f>SUMIFS(BDMovEstoque!C:C,BDMovEstoque!A:A,Tabela3[[#This Row],[Código]],BDMovEstoque!G:G,"Entrada")-SUMIFS(BDMovEstoque!C:C,BDMovEstoque!A:A,Tabela3[[#This Row],[Código]],BDMovEstoque!G:G,"Saída")</f>
        <v>0</v>
      </c>
      <c r="G476" t="str">
        <f>IF(Tabela3[[#This Row],[Saldo Estoque]]&lt;Tabela3[[#This Row],[Estoque Mínimo]],"Sim","")</f>
        <v/>
      </c>
      <c r="H476" s="33">
        <f>Tabela3[[#This Row],[Saldo Estoque]]*Tabela3[[#This Row],[Valor]]</f>
        <v>0</v>
      </c>
    </row>
    <row r="477" spans="1:8" x14ac:dyDescent="0.35">
      <c r="A477" s="1">
        <v>476</v>
      </c>
      <c r="F477" s="9">
        <f>SUMIFS(BDMovEstoque!C:C,BDMovEstoque!A:A,Tabela3[[#This Row],[Código]],BDMovEstoque!G:G,"Entrada")-SUMIFS(BDMovEstoque!C:C,BDMovEstoque!A:A,Tabela3[[#This Row],[Código]],BDMovEstoque!G:G,"Saída")</f>
        <v>0</v>
      </c>
      <c r="G477" t="str">
        <f>IF(Tabela3[[#This Row],[Saldo Estoque]]&lt;Tabela3[[#This Row],[Estoque Mínimo]],"Sim","")</f>
        <v/>
      </c>
      <c r="H477" s="33">
        <f>Tabela3[[#This Row],[Saldo Estoque]]*Tabela3[[#This Row],[Valor]]</f>
        <v>0</v>
      </c>
    </row>
    <row r="478" spans="1:8" x14ac:dyDescent="0.35">
      <c r="A478" s="1">
        <v>477</v>
      </c>
      <c r="F478" s="9">
        <f>SUMIFS(BDMovEstoque!C:C,BDMovEstoque!A:A,Tabela3[[#This Row],[Código]],BDMovEstoque!G:G,"Entrada")-SUMIFS(BDMovEstoque!C:C,BDMovEstoque!A:A,Tabela3[[#This Row],[Código]],BDMovEstoque!G:G,"Saída")</f>
        <v>0</v>
      </c>
      <c r="G478" t="str">
        <f>IF(Tabela3[[#This Row],[Saldo Estoque]]&lt;Tabela3[[#This Row],[Estoque Mínimo]],"Sim","")</f>
        <v/>
      </c>
      <c r="H478" s="33">
        <f>Tabela3[[#This Row],[Saldo Estoque]]*Tabela3[[#This Row],[Valor]]</f>
        <v>0</v>
      </c>
    </row>
    <row r="479" spans="1:8" x14ac:dyDescent="0.35">
      <c r="A479" s="1">
        <v>478</v>
      </c>
      <c r="F479" s="9">
        <f>SUMIFS(BDMovEstoque!C:C,BDMovEstoque!A:A,Tabela3[[#This Row],[Código]],BDMovEstoque!G:G,"Entrada")-SUMIFS(BDMovEstoque!C:C,BDMovEstoque!A:A,Tabela3[[#This Row],[Código]],BDMovEstoque!G:G,"Saída")</f>
        <v>0</v>
      </c>
      <c r="G479" t="str">
        <f>IF(Tabela3[[#This Row],[Saldo Estoque]]&lt;Tabela3[[#This Row],[Estoque Mínimo]],"Sim","")</f>
        <v/>
      </c>
      <c r="H479" s="33">
        <f>Tabela3[[#This Row],[Saldo Estoque]]*Tabela3[[#This Row],[Valor]]</f>
        <v>0</v>
      </c>
    </row>
    <row r="480" spans="1:8" x14ac:dyDescent="0.35">
      <c r="A480" s="1">
        <v>479</v>
      </c>
      <c r="F480" s="9">
        <f>SUMIFS(BDMovEstoque!C:C,BDMovEstoque!A:A,Tabela3[[#This Row],[Código]],BDMovEstoque!G:G,"Entrada")-SUMIFS(BDMovEstoque!C:C,BDMovEstoque!A:A,Tabela3[[#This Row],[Código]],BDMovEstoque!G:G,"Saída")</f>
        <v>0</v>
      </c>
      <c r="G480" t="str">
        <f>IF(Tabela3[[#This Row],[Saldo Estoque]]&lt;Tabela3[[#This Row],[Estoque Mínimo]],"Sim","")</f>
        <v/>
      </c>
      <c r="H480" s="33">
        <f>Tabela3[[#This Row],[Saldo Estoque]]*Tabela3[[#This Row],[Valor]]</f>
        <v>0</v>
      </c>
    </row>
    <row r="481" spans="1:8" x14ac:dyDescent="0.35">
      <c r="A481" s="1">
        <v>480</v>
      </c>
      <c r="F481" s="9">
        <f>SUMIFS(BDMovEstoque!C:C,BDMovEstoque!A:A,Tabela3[[#This Row],[Código]],BDMovEstoque!G:G,"Entrada")-SUMIFS(BDMovEstoque!C:C,BDMovEstoque!A:A,Tabela3[[#This Row],[Código]],BDMovEstoque!G:G,"Saída")</f>
        <v>0</v>
      </c>
      <c r="G481" t="str">
        <f>IF(Tabela3[[#This Row],[Saldo Estoque]]&lt;Tabela3[[#This Row],[Estoque Mínimo]],"Sim","")</f>
        <v/>
      </c>
      <c r="H481" s="33">
        <f>Tabela3[[#This Row],[Saldo Estoque]]*Tabela3[[#This Row],[Valor]]</f>
        <v>0</v>
      </c>
    </row>
    <row r="482" spans="1:8" x14ac:dyDescent="0.35">
      <c r="A482" s="1">
        <v>481</v>
      </c>
      <c r="F482" s="9">
        <f>SUMIFS(BDMovEstoque!C:C,BDMovEstoque!A:A,Tabela3[[#This Row],[Código]],BDMovEstoque!G:G,"Entrada")-SUMIFS(BDMovEstoque!C:C,BDMovEstoque!A:A,Tabela3[[#This Row],[Código]],BDMovEstoque!G:G,"Saída")</f>
        <v>0</v>
      </c>
      <c r="G482" t="str">
        <f>IF(Tabela3[[#This Row],[Saldo Estoque]]&lt;Tabela3[[#This Row],[Estoque Mínimo]],"Sim","")</f>
        <v/>
      </c>
      <c r="H482" s="33">
        <f>Tabela3[[#This Row],[Saldo Estoque]]*Tabela3[[#This Row],[Valor]]</f>
        <v>0</v>
      </c>
    </row>
    <row r="483" spans="1:8" x14ac:dyDescent="0.35">
      <c r="A483" s="1">
        <v>482</v>
      </c>
      <c r="F483" s="9">
        <f>SUMIFS(BDMovEstoque!C:C,BDMovEstoque!A:A,Tabela3[[#This Row],[Código]],BDMovEstoque!G:G,"Entrada")-SUMIFS(BDMovEstoque!C:C,BDMovEstoque!A:A,Tabela3[[#This Row],[Código]],BDMovEstoque!G:G,"Saída")</f>
        <v>0</v>
      </c>
      <c r="G483" t="str">
        <f>IF(Tabela3[[#This Row],[Saldo Estoque]]&lt;Tabela3[[#This Row],[Estoque Mínimo]],"Sim","")</f>
        <v/>
      </c>
      <c r="H483" s="33">
        <f>Tabela3[[#This Row],[Saldo Estoque]]*Tabela3[[#This Row],[Valor]]</f>
        <v>0</v>
      </c>
    </row>
    <row r="484" spans="1:8" x14ac:dyDescent="0.35">
      <c r="A484" s="1">
        <v>483</v>
      </c>
      <c r="F484" s="9">
        <f>SUMIFS(BDMovEstoque!C:C,BDMovEstoque!A:A,Tabela3[[#This Row],[Código]],BDMovEstoque!G:G,"Entrada")-SUMIFS(BDMovEstoque!C:C,BDMovEstoque!A:A,Tabela3[[#This Row],[Código]],BDMovEstoque!G:G,"Saída")</f>
        <v>0</v>
      </c>
      <c r="G484" t="str">
        <f>IF(Tabela3[[#This Row],[Saldo Estoque]]&lt;Tabela3[[#This Row],[Estoque Mínimo]],"Sim","")</f>
        <v/>
      </c>
      <c r="H484" s="33">
        <f>Tabela3[[#This Row],[Saldo Estoque]]*Tabela3[[#This Row],[Valor]]</f>
        <v>0</v>
      </c>
    </row>
    <row r="485" spans="1:8" x14ac:dyDescent="0.35">
      <c r="A485" s="1">
        <v>484</v>
      </c>
      <c r="F485" s="9">
        <f>SUMIFS(BDMovEstoque!C:C,BDMovEstoque!A:A,Tabela3[[#This Row],[Código]],BDMovEstoque!G:G,"Entrada")-SUMIFS(BDMovEstoque!C:C,BDMovEstoque!A:A,Tabela3[[#This Row],[Código]],BDMovEstoque!G:G,"Saída")</f>
        <v>0</v>
      </c>
      <c r="G485" t="str">
        <f>IF(Tabela3[[#This Row],[Saldo Estoque]]&lt;Tabela3[[#This Row],[Estoque Mínimo]],"Sim","")</f>
        <v/>
      </c>
      <c r="H485" s="33">
        <f>Tabela3[[#This Row],[Saldo Estoque]]*Tabela3[[#This Row],[Valor]]</f>
        <v>0</v>
      </c>
    </row>
    <row r="486" spans="1:8" x14ac:dyDescent="0.35">
      <c r="A486" s="1">
        <v>485</v>
      </c>
      <c r="F486" s="9">
        <f>SUMIFS(BDMovEstoque!C:C,BDMovEstoque!A:A,Tabela3[[#This Row],[Código]],BDMovEstoque!G:G,"Entrada")-SUMIFS(BDMovEstoque!C:C,BDMovEstoque!A:A,Tabela3[[#This Row],[Código]],BDMovEstoque!G:G,"Saída")</f>
        <v>0</v>
      </c>
      <c r="G486" t="str">
        <f>IF(Tabela3[[#This Row],[Saldo Estoque]]&lt;Tabela3[[#This Row],[Estoque Mínimo]],"Sim","")</f>
        <v/>
      </c>
      <c r="H486" s="33">
        <f>Tabela3[[#This Row],[Saldo Estoque]]*Tabela3[[#This Row],[Valor]]</f>
        <v>0</v>
      </c>
    </row>
    <row r="487" spans="1:8" x14ac:dyDescent="0.35">
      <c r="A487" s="1">
        <v>486</v>
      </c>
      <c r="F487" s="9">
        <f>SUMIFS(BDMovEstoque!C:C,BDMovEstoque!A:A,Tabela3[[#This Row],[Código]],BDMovEstoque!G:G,"Entrada")-SUMIFS(BDMovEstoque!C:C,BDMovEstoque!A:A,Tabela3[[#This Row],[Código]],BDMovEstoque!G:G,"Saída")</f>
        <v>0</v>
      </c>
      <c r="G487" t="str">
        <f>IF(Tabela3[[#This Row],[Saldo Estoque]]&lt;Tabela3[[#This Row],[Estoque Mínimo]],"Sim","")</f>
        <v/>
      </c>
      <c r="H487" s="33">
        <f>Tabela3[[#This Row],[Saldo Estoque]]*Tabela3[[#This Row],[Valor]]</f>
        <v>0</v>
      </c>
    </row>
    <row r="488" spans="1:8" x14ac:dyDescent="0.35">
      <c r="A488" s="1">
        <v>487</v>
      </c>
      <c r="F488" s="9">
        <f>SUMIFS(BDMovEstoque!C:C,BDMovEstoque!A:A,Tabela3[[#This Row],[Código]],BDMovEstoque!G:G,"Entrada")-SUMIFS(BDMovEstoque!C:C,BDMovEstoque!A:A,Tabela3[[#This Row],[Código]],BDMovEstoque!G:G,"Saída")</f>
        <v>0</v>
      </c>
      <c r="G488" t="str">
        <f>IF(Tabela3[[#This Row],[Saldo Estoque]]&lt;Tabela3[[#This Row],[Estoque Mínimo]],"Sim","")</f>
        <v/>
      </c>
      <c r="H488" s="33">
        <f>Tabela3[[#This Row],[Saldo Estoque]]*Tabela3[[#This Row],[Valor]]</f>
        <v>0</v>
      </c>
    </row>
    <row r="489" spans="1:8" x14ac:dyDescent="0.35">
      <c r="A489" s="1">
        <v>488</v>
      </c>
      <c r="F489" s="9">
        <f>SUMIFS(BDMovEstoque!C:C,BDMovEstoque!A:A,Tabela3[[#This Row],[Código]],BDMovEstoque!G:G,"Entrada")-SUMIFS(BDMovEstoque!C:C,BDMovEstoque!A:A,Tabela3[[#This Row],[Código]],BDMovEstoque!G:G,"Saída")</f>
        <v>0</v>
      </c>
      <c r="G489" t="str">
        <f>IF(Tabela3[[#This Row],[Saldo Estoque]]&lt;Tabela3[[#This Row],[Estoque Mínimo]],"Sim","")</f>
        <v/>
      </c>
      <c r="H489" s="33">
        <f>Tabela3[[#This Row],[Saldo Estoque]]*Tabela3[[#This Row],[Valor]]</f>
        <v>0</v>
      </c>
    </row>
    <row r="490" spans="1:8" x14ac:dyDescent="0.35">
      <c r="A490" s="1">
        <v>489</v>
      </c>
      <c r="F490" s="9">
        <f>SUMIFS(BDMovEstoque!C:C,BDMovEstoque!A:A,Tabela3[[#This Row],[Código]],BDMovEstoque!G:G,"Entrada")-SUMIFS(BDMovEstoque!C:C,BDMovEstoque!A:A,Tabela3[[#This Row],[Código]],BDMovEstoque!G:G,"Saída")</f>
        <v>0</v>
      </c>
      <c r="G490" t="str">
        <f>IF(Tabela3[[#This Row],[Saldo Estoque]]&lt;Tabela3[[#This Row],[Estoque Mínimo]],"Sim","")</f>
        <v/>
      </c>
      <c r="H490" s="33">
        <f>Tabela3[[#This Row],[Saldo Estoque]]*Tabela3[[#This Row],[Valor]]</f>
        <v>0</v>
      </c>
    </row>
    <row r="491" spans="1:8" x14ac:dyDescent="0.35">
      <c r="A491" s="1">
        <v>490</v>
      </c>
      <c r="F491" s="9">
        <f>SUMIFS(BDMovEstoque!C:C,BDMovEstoque!A:A,Tabela3[[#This Row],[Código]],BDMovEstoque!G:G,"Entrada")-SUMIFS(BDMovEstoque!C:C,BDMovEstoque!A:A,Tabela3[[#This Row],[Código]],BDMovEstoque!G:G,"Saída")</f>
        <v>0</v>
      </c>
      <c r="G491" t="str">
        <f>IF(Tabela3[[#This Row],[Saldo Estoque]]&lt;Tabela3[[#This Row],[Estoque Mínimo]],"Sim","")</f>
        <v/>
      </c>
      <c r="H491" s="33">
        <f>Tabela3[[#This Row],[Saldo Estoque]]*Tabela3[[#This Row],[Valor]]</f>
        <v>0</v>
      </c>
    </row>
    <row r="492" spans="1:8" x14ac:dyDescent="0.35">
      <c r="A492" s="1">
        <v>491</v>
      </c>
      <c r="F492" s="9">
        <f>SUMIFS(BDMovEstoque!C:C,BDMovEstoque!A:A,Tabela3[[#This Row],[Código]],BDMovEstoque!G:G,"Entrada")-SUMIFS(BDMovEstoque!C:C,BDMovEstoque!A:A,Tabela3[[#This Row],[Código]],BDMovEstoque!G:G,"Saída")</f>
        <v>0</v>
      </c>
      <c r="G492" t="str">
        <f>IF(Tabela3[[#This Row],[Saldo Estoque]]&lt;Tabela3[[#This Row],[Estoque Mínimo]],"Sim","")</f>
        <v/>
      </c>
      <c r="H492" s="33">
        <f>Tabela3[[#This Row],[Saldo Estoque]]*Tabela3[[#This Row],[Valor]]</f>
        <v>0</v>
      </c>
    </row>
    <row r="493" spans="1:8" x14ac:dyDescent="0.35">
      <c r="A493" s="1">
        <v>492</v>
      </c>
      <c r="F493" s="9">
        <f>SUMIFS(BDMovEstoque!C:C,BDMovEstoque!A:A,Tabela3[[#This Row],[Código]],BDMovEstoque!G:G,"Entrada")-SUMIFS(BDMovEstoque!C:C,BDMovEstoque!A:A,Tabela3[[#This Row],[Código]],BDMovEstoque!G:G,"Saída")</f>
        <v>0</v>
      </c>
      <c r="G493" t="str">
        <f>IF(Tabela3[[#This Row],[Saldo Estoque]]&lt;Tabela3[[#This Row],[Estoque Mínimo]],"Sim","")</f>
        <v/>
      </c>
      <c r="H493" s="33">
        <f>Tabela3[[#This Row],[Saldo Estoque]]*Tabela3[[#This Row],[Valor]]</f>
        <v>0</v>
      </c>
    </row>
    <row r="494" spans="1:8" x14ac:dyDescent="0.35">
      <c r="A494" s="1">
        <v>493</v>
      </c>
      <c r="F494" s="9">
        <f>SUMIFS(BDMovEstoque!C:C,BDMovEstoque!A:A,Tabela3[[#This Row],[Código]],BDMovEstoque!G:G,"Entrada")-SUMIFS(BDMovEstoque!C:C,BDMovEstoque!A:A,Tabela3[[#This Row],[Código]],BDMovEstoque!G:G,"Saída")</f>
        <v>0</v>
      </c>
      <c r="G494" t="str">
        <f>IF(Tabela3[[#This Row],[Saldo Estoque]]&lt;Tabela3[[#This Row],[Estoque Mínimo]],"Sim","")</f>
        <v/>
      </c>
      <c r="H494" s="33">
        <f>Tabela3[[#This Row],[Saldo Estoque]]*Tabela3[[#This Row],[Valor]]</f>
        <v>0</v>
      </c>
    </row>
    <row r="495" spans="1:8" x14ac:dyDescent="0.35">
      <c r="A495" s="1">
        <v>494</v>
      </c>
      <c r="F495" s="9">
        <f>SUMIFS(BDMovEstoque!C:C,BDMovEstoque!A:A,Tabela3[[#This Row],[Código]],BDMovEstoque!G:G,"Entrada")-SUMIFS(BDMovEstoque!C:C,BDMovEstoque!A:A,Tabela3[[#This Row],[Código]],BDMovEstoque!G:G,"Saída")</f>
        <v>0</v>
      </c>
      <c r="G495" t="str">
        <f>IF(Tabela3[[#This Row],[Saldo Estoque]]&lt;Tabela3[[#This Row],[Estoque Mínimo]],"Sim","")</f>
        <v/>
      </c>
      <c r="H495" s="33">
        <f>Tabela3[[#This Row],[Saldo Estoque]]*Tabela3[[#This Row],[Valor]]</f>
        <v>0</v>
      </c>
    </row>
    <row r="496" spans="1:8" x14ac:dyDescent="0.35">
      <c r="A496" s="1">
        <v>495</v>
      </c>
      <c r="F496" s="9">
        <f>SUMIFS(BDMovEstoque!C:C,BDMovEstoque!A:A,Tabela3[[#This Row],[Código]],BDMovEstoque!G:G,"Entrada")-SUMIFS(BDMovEstoque!C:C,BDMovEstoque!A:A,Tabela3[[#This Row],[Código]],BDMovEstoque!G:G,"Saída")</f>
        <v>0</v>
      </c>
      <c r="G496" t="str">
        <f>IF(Tabela3[[#This Row],[Saldo Estoque]]&lt;Tabela3[[#This Row],[Estoque Mínimo]],"Sim","")</f>
        <v/>
      </c>
      <c r="H496" s="33">
        <f>Tabela3[[#This Row],[Saldo Estoque]]*Tabela3[[#This Row],[Valor]]</f>
        <v>0</v>
      </c>
    </row>
    <row r="497" spans="1:8" x14ac:dyDescent="0.35">
      <c r="A497" s="1">
        <v>496</v>
      </c>
      <c r="F497" s="9">
        <f>SUMIFS(BDMovEstoque!C:C,BDMovEstoque!A:A,Tabela3[[#This Row],[Código]],BDMovEstoque!G:G,"Entrada")-SUMIFS(BDMovEstoque!C:C,BDMovEstoque!A:A,Tabela3[[#This Row],[Código]],BDMovEstoque!G:G,"Saída")</f>
        <v>0</v>
      </c>
      <c r="G497" t="str">
        <f>IF(Tabela3[[#This Row],[Saldo Estoque]]&lt;Tabela3[[#This Row],[Estoque Mínimo]],"Sim","")</f>
        <v/>
      </c>
      <c r="H497" s="33">
        <f>Tabela3[[#This Row],[Saldo Estoque]]*Tabela3[[#This Row],[Valor]]</f>
        <v>0</v>
      </c>
    </row>
    <row r="498" spans="1:8" x14ac:dyDescent="0.35">
      <c r="A498" s="1">
        <v>497</v>
      </c>
      <c r="F498" s="9">
        <f>SUMIFS(BDMovEstoque!C:C,BDMovEstoque!A:A,Tabela3[[#This Row],[Código]],BDMovEstoque!G:G,"Entrada")-SUMIFS(BDMovEstoque!C:C,BDMovEstoque!A:A,Tabela3[[#This Row],[Código]],BDMovEstoque!G:G,"Saída")</f>
        <v>0</v>
      </c>
      <c r="G498" t="str">
        <f>IF(Tabela3[[#This Row],[Saldo Estoque]]&lt;Tabela3[[#This Row],[Estoque Mínimo]],"Sim","")</f>
        <v/>
      </c>
      <c r="H498" s="33">
        <f>Tabela3[[#This Row],[Saldo Estoque]]*Tabela3[[#This Row],[Valor]]</f>
        <v>0</v>
      </c>
    </row>
    <row r="499" spans="1:8" x14ac:dyDescent="0.35">
      <c r="A499" s="1">
        <v>498</v>
      </c>
      <c r="F499" s="9">
        <f>SUMIFS(BDMovEstoque!C:C,BDMovEstoque!A:A,Tabela3[[#This Row],[Código]],BDMovEstoque!G:G,"Entrada")-SUMIFS(BDMovEstoque!C:C,BDMovEstoque!A:A,Tabela3[[#This Row],[Código]],BDMovEstoque!G:G,"Saída")</f>
        <v>0</v>
      </c>
      <c r="G499" t="str">
        <f>IF(Tabela3[[#This Row],[Saldo Estoque]]&lt;Tabela3[[#This Row],[Estoque Mínimo]],"Sim","")</f>
        <v/>
      </c>
      <c r="H499" s="33">
        <f>Tabela3[[#This Row],[Saldo Estoque]]*Tabela3[[#This Row],[Valor]]</f>
        <v>0</v>
      </c>
    </row>
    <row r="500" spans="1:8" x14ac:dyDescent="0.35">
      <c r="A500" s="1">
        <v>499</v>
      </c>
      <c r="F500" s="9">
        <f>SUMIFS(BDMovEstoque!C:C,BDMovEstoque!A:A,Tabela3[[#This Row],[Código]],BDMovEstoque!G:G,"Entrada")-SUMIFS(BDMovEstoque!C:C,BDMovEstoque!A:A,Tabela3[[#This Row],[Código]],BDMovEstoque!G:G,"Saída")</f>
        <v>0</v>
      </c>
      <c r="G500" t="str">
        <f>IF(Tabela3[[#This Row],[Saldo Estoque]]&lt;Tabela3[[#This Row],[Estoque Mínimo]],"Sim","")</f>
        <v/>
      </c>
      <c r="H500" s="33">
        <f>Tabela3[[#This Row],[Saldo Estoque]]*Tabela3[[#This Row],[Valor]]</f>
        <v>0</v>
      </c>
    </row>
    <row r="501" spans="1:8" x14ac:dyDescent="0.35">
      <c r="A501" s="1">
        <v>500</v>
      </c>
      <c r="F501" s="9">
        <f>SUMIFS(BDMovEstoque!C:C,BDMovEstoque!A:A,Tabela3[[#This Row],[Código]],BDMovEstoque!G:G,"Entrada")-SUMIFS(BDMovEstoque!C:C,BDMovEstoque!A:A,Tabela3[[#This Row],[Código]],BDMovEstoque!G:G,"Saída")</f>
        <v>0</v>
      </c>
      <c r="G501" t="str">
        <f>IF(Tabela3[[#This Row],[Saldo Estoque]]&lt;Tabela3[[#This Row],[Estoque Mínimo]],"Sim","")</f>
        <v/>
      </c>
      <c r="H501" s="33">
        <f>Tabela3[[#This Row],[Saldo Estoque]]*Tabela3[[#This Row],[Valor]]</f>
        <v>0</v>
      </c>
    </row>
  </sheetData>
  <phoneticPr fontId="17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45AEE-B103-418F-9787-6E1F95B60674}">
  <sheetPr codeName="Planilha7">
    <tabColor theme="8" tint="0.39997558519241921"/>
  </sheetPr>
  <dimension ref="A1:D10"/>
  <sheetViews>
    <sheetView showGridLines="0" workbookViewId="0">
      <pane ySplit="1" topLeftCell="A2" activePane="bottomLeft" state="frozen"/>
      <selection pane="bottomLeft" activeCell="C22" sqref="C22"/>
    </sheetView>
  </sheetViews>
  <sheetFormatPr defaultRowHeight="14.5" x14ac:dyDescent="0.35"/>
  <cols>
    <col min="1" max="1" width="24.453125" style="1" customWidth="1"/>
    <col min="2" max="2" width="33.54296875" style="1" customWidth="1"/>
    <col min="3" max="3" width="33.54296875" style="3" customWidth="1"/>
    <col min="4" max="4" width="33.54296875" style="1" customWidth="1"/>
  </cols>
  <sheetData>
    <row r="1" spans="1:4" x14ac:dyDescent="0.35">
      <c r="A1" s="24" t="s">
        <v>22</v>
      </c>
      <c r="B1" s="24" t="s">
        <v>17</v>
      </c>
      <c r="C1" s="25" t="s">
        <v>18</v>
      </c>
      <c r="D1" s="24" t="s">
        <v>23</v>
      </c>
    </row>
    <row r="2" spans="1:4" x14ac:dyDescent="0.35">
      <c r="A2" s="1">
        <v>1</v>
      </c>
      <c r="B2" s="1" t="s">
        <v>56</v>
      </c>
      <c r="C2" s="3">
        <v>50</v>
      </c>
      <c r="D2" s="8">
        <v>44508</v>
      </c>
    </row>
    <row r="3" spans="1:4" x14ac:dyDescent="0.35">
      <c r="D3" s="8"/>
    </row>
    <row r="4" spans="1:4" x14ac:dyDescent="0.35">
      <c r="D4" s="8"/>
    </row>
    <row r="5" spans="1:4" x14ac:dyDescent="0.35">
      <c r="D5" s="8"/>
    </row>
    <row r="6" spans="1:4" x14ac:dyDescent="0.35">
      <c r="D6" s="8"/>
    </row>
    <row r="10" spans="1:4" x14ac:dyDescent="0.35">
      <c r="D10" s="8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4B0A7-FF3C-4D1E-B823-2D554D6EAEBC}">
  <sheetPr codeName="Planilha8">
    <tabColor theme="8" tint="0.39997558519241921"/>
  </sheetPr>
  <dimension ref="A1:G26"/>
  <sheetViews>
    <sheetView showGridLines="0" workbookViewId="0">
      <pane ySplit="1" topLeftCell="A2" activePane="bottomLeft" state="frozen"/>
      <selection pane="bottomLeft" activeCell="C6" sqref="C6"/>
    </sheetView>
  </sheetViews>
  <sheetFormatPr defaultRowHeight="14.5" x14ac:dyDescent="0.35"/>
  <cols>
    <col min="1" max="1" width="18.81640625" style="1" bestFit="1" customWidth="1"/>
    <col min="2" max="3" width="33.54296875" style="1" customWidth="1"/>
    <col min="4" max="4" width="13.7265625" style="3" customWidth="1"/>
    <col min="5" max="5" width="17.81640625" bestFit="1" customWidth="1"/>
    <col min="6" max="6" width="15.54296875" bestFit="1" customWidth="1"/>
    <col min="7" max="7" width="10.453125" bestFit="1" customWidth="1"/>
  </cols>
  <sheetData>
    <row r="1" spans="1:7" x14ac:dyDescent="0.35">
      <c r="A1" s="24" t="s">
        <v>21</v>
      </c>
      <c r="B1" s="24" t="s">
        <v>9</v>
      </c>
      <c r="C1" s="24" t="s">
        <v>26</v>
      </c>
      <c r="D1" s="25" t="s">
        <v>14</v>
      </c>
      <c r="E1" s="26" t="s">
        <v>19</v>
      </c>
      <c r="F1" s="26" t="s">
        <v>20</v>
      </c>
      <c r="G1" s="26" t="s">
        <v>27</v>
      </c>
    </row>
    <row r="2" spans="1:7" x14ac:dyDescent="0.35">
      <c r="A2" s="1">
        <v>2</v>
      </c>
      <c r="B2" s="1" t="s">
        <v>50</v>
      </c>
      <c r="C2" s="1">
        <v>15</v>
      </c>
      <c r="D2" s="2">
        <v>10</v>
      </c>
      <c r="E2" s="5">
        <v>44508</v>
      </c>
      <c r="F2" s="5"/>
      <c r="G2" s="4" t="s">
        <v>55</v>
      </c>
    </row>
    <row r="3" spans="1:7" x14ac:dyDescent="0.35">
      <c r="A3" s="1">
        <v>2</v>
      </c>
      <c r="B3" s="1" t="s">
        <v>50</v>
      </c>
      <c r="C3" s="1">
        <v>5</v>
      </c>
      <c r="D3" s="2">
        <v>10</v>
      </c>
      <c r="E3" s="5"/>
      <c r="F3" s="5">
        <v>44508</v>
      </c>
      <c r="G3" s="4" t="s">
        <v>58</v>
      </c>
    </row>
    <row r="4" spans="1:7" x14ac:dyDescent="0.35">
      <c r="A4" s="1">
        <v>1</v>
      </c>
      <c r="B4" s="1" t="s">
        <v>48</v>
      </c>
      <c r="C4" s="1">
        <v>100</v>
      </c>
      <c r="D4" s="2">
        <v>50</v>
      </c>
      <c r="E4" s="5">
        <v>44508</v>
      </c>
      <c r="F4" s="5"/>
      <c r="G4" s="4" t="s">
        <v>55</v>
      </c>
    </row>
    <row r="5" spans="1:7" x14ac:dyDescent="0.35">
      <c r="A5" s="1">
        <v>1</v>
      </c>
      <c r="B5" s="1" t="s">
        <v>48</v>
      </c>
      <c r="C5" s="1">
        <v>20</v>
      </c>
      <c r="D5" s="2">
        <v>50</v>
      </c>
      <c r="E5" s="5"/>
      <c r="F5" s="5">
        <v>44508</v>
      </c>
      <c r="G5" s="4" t="s">
        <v>58</v>
      </c>
    </row>
    <row r="6" spans="1:7" x14ac:dyDescent="0.35">
      <c r="D6" s="2"/>
      <c r="E6" s="5"/>
      <c r="F6" s="5"/>
      <c r="G6" s="4"/>
    </row>
    <row r="7" spans="1:7" x14ac:dyDescent="0.35">
      <c r="D7" s="2"/>
      <c r="E7" s="5"/>
      <c r="F7" s="4"/>
      <c r="G7" s="4"/>
    </row>
    <row r="8" spans="1:7" x14ac:dyDescent="0.35">
      <c r="D8" s="2"/>
      <c r="E8" s="5"/>
      <c r="F8" s="4"/>
      <c r="G8" s="4"/>
    </row>
    <row r="9" spans="1:7" x14ac:dyDescent="0.35">
      <c r="D9" s="2"/>
      <c r="E9" s="5"/>
      <c r="F9" s="5"/>
      <c r="G9" s="4"/>
    </row>
    <row r="10" spans="1:7" x14ac:dyDescent="0.35">
      <c r="D10" s="2"/>
      <c r="E10" s="5"/>
      <c r="F10" s="5"/>
      <c r="G10" s="4"/>
    </row>
    <row r="11" spans="1:7" x14ac:dyDescent="0.35">
      <c r="D11" s="2"/>
      <c r="E11" s="5"/>
      <c r="F11" s="5"/>
      <c r="G11" s="4"/>
    </row>
    <row r="12" spans="1:7" x14ac:dyDescent="0.35">
      <c r="D12" s="2"/>
      <c r="E12" s="5"/>
      <c r="F12" s="4"/>
      <c r="G12" s="4"/>
    </row>
    <row r="13" spans="1:7" x14ac:dyDescent="0.35">
      <c r="D13" s="2"/>
      <c r="E13" s="5"/>
      <c r="F13" s="4"/>
      <c r="G13" s="4"/>
    </row>
    <row r="14" spans="1:7" x14ac:dyDescent="0.35">
      <c r="D14" s="2"/>
      <c r="E14" s="5"/>
      <c r="F14" s="5"/>
      <c r="G14" s="4"/>
    </row>
    <row r="15" spans="1:7" x14ac:dyDescent="0.35">
      <c r="D15" s="2"/>
      <c r="E15" s="5"/>
      <c r="F15" s="5"/>
      <c r="G15" s="4"/>
    </row>
    <row r="16" spans="1:7" x14ac:dyDescent="0.35">
      <c r="D16" s="2"/>
      <c r="E16" s="5"/>
      <c r="F16" s="5"/>
      <c r="G16" s="4"/>
    </row>
    <row r="17" spans="4:7" x14ac:dyDescent="0.35">
      <c r="D17" s="2"/>
      <c r="E17" s="5"/>
      <c r="F17" s="4"/>
      <c r="G17" s="4"/>
    </row>
    <row r="18" spans="4:7" x14ac:dyDescent="0.35">
      <c r="D18" s="2"/>
      <c r="E18" s="5"/>
      <c r="F18" s="4"/>
      <c r="G18" s="4"/>
    </row>
    <row r="19" spans="4:7" x14ac:dyDescent="0.35">
      <c r="D19" s="2"/>
      <c r="E19" s="5"/>
      <c r="F19" s="5"/>
      <c r="G19" s="4"/>
    </row>
    <row r="20" spans="4:7" x14ac:dyDescent="0.35">
      <c r="D20" s="2"/>
      <c r="E20" s="5"/>
      <c r="F20" s="5"/>
      <c r="G20" s="4"/>
    </row>
    <row r="21" spans="4:7" x14ac:dyDescent="0.35">
      <c r="D21" s="2"/>
      <c r="E21" s="5"/>
      <c r="F21" s="5"/>
      <c r="G21" s="4"/>
    </row>
    <row r="22" spans="4:7" x14ac:dyDescent="0.35">
      <c r="D22" s="2"/>
      <c r="E22" s="5"/>
      <c r="F22" s="4"/>
      <c r="G22" s="4"/>
    </row>
    <row r="23" spans="4:7" x14ac:dyDescent="0.35">
      <c r="D23" s="2"/>
      <c r="E23" s="5"/>
      <c r="F23" s="4"/>
      <c r="G23" s="4"/>
    </row>
    <row r="24" spans="4:7" x14ac:dyDescent="0.35">
      <c r="D24" s="2"/>
      <c r="E24" s="5"/>
      <c r="F24" s="5"/>
      <c r="G24" s="4"/>
    </row>
    <row r="25" spans="4:7" x14ac:dyDescent="0.35">
      <c r="D25" s="2"/>
      <c r="E25" s="5"/>
      <c r="F25" s="5"/>
      <c r="G25" s="4"/>
    </row>
    <row r="26" spans="4:7" x14ac:dyDescent="0.35">
      <c r="D26" s="2"/>
      <c r="E26" s="5"/>
      <c r="F26" s="5"/>
      <c r="G26" s="4"/>
    </row>
  </sheetData>
  <phoneticPr fontId="17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4000A-CE32-4C1D-B83E-43A2F8F9F876}">
  <sheetPr codeName="Planilha11">
    <tabColor theme="8" tint="0.39997558519241921"/>
  </sheetPr>
  <dimension ref="A1:Z27"/>
  <sheetViews>
    <sheetView showGridLines="0" workbookViewId="0">
      <selection activeCell="L16" sqref="L16"/>
    </sheetView>
  </sheetViews>
  <sheetFormatPr defaultRowHeight="14.5" x14ac:dyDescent="0.35"/>
  <cols>
    <col min="1" max="1" width="17" bestFit="1" customWidth="1"/>
    <col min="2" max="2" width="20.453125" bestFit="1" customWidth="1"/>
    <col min="3" max="4" width="2.7265625" customWidth="1"/>
    <col min="5" max="5" width="17" bestFit="1" customWidth="1"/>
    <col min="6" max="6" width="20.453125" bestFit="1" customWidth="1"/>
    <col min="7" max="7" width="2.7265625" bestFit="1" customWidth="1"/>
    <col min="8" max="8" width="17" bestFit="1" customWidth="1"/>
    <col min="9" max="9" width="24.36328125" style="33" bestFit="1" customWidth="1"/>
    <col min="10" max="10" width="2.7265625" style="33" customWidth="1"/>
    <col min="11" max="11" width="2.7265625" customWidth="1"/>
    <col min="12" max="12" width="17" style="34" bestFit="1" customWidth="1"/>
    <col min="13" max="13" width="11.08984375" style="32" bestFit="1" customWidth="1"/>
    <col min="14" max="14" width="18.54296875" bestFit="1" customWidth="1"/>
    <col min="15" max="15" width="2.7265625" customWidth="1"/>
    <col min="16" max="16" width="14.7265625" bestFit="1" customWidth="1"/>
    <col min="17" max="17" width="9" bestFit="1" customWidth="1"/>
    <col min="18" max="18" width="7.26953125" customWidth="1"/>
    <col min="19" max="20" width="2.7265625" customWidth="1"/>
    <col min="21" max="21" width="17" bestFit="1" customWidth="1"/>
    <col min="22" max="22" width="18.54296875" bestFit="1" customWidth="1"/>
    <col min="23" max="24" width="2.7265625" customWidth="1"/>
    <col min="25" max="25" width="17" bestFit="1" customWidth="1"/>
    <col min="26" max="26" width="18.54296875" bestFit="1" customWidth="1"/>
  </cols>
  <sheetData>
    <row r="1" spans="1:26" x14ac:dyDescent="0.35">
      <c r="A1" s="30" t="s">
        <v>59</v>
      </c>
      <c r="B1" t="s">
        <v>62</v>
      </c>
      <c r="E1" s="30" t="s">
        <v>41</v>
      </c>
      <c r="F1" t="s">
        <v>43</v>
      </c>
      <c r="H1" s="30" t="s">
        <v>41</v>
      </c>
      <c r="I1" s="33" t="s">
        <v>61</v>
      </c>
      <c r="L1"/>
      <c r="M1"/>
      <c r="U1" s="30" t="s">
        <v>27</v>
      </c>
      <c r="V1" t="s">
        <v>58</v>
      </c>
      <c r="Y1" s="30" t="s">
        <v>27</v>
      </c>
      <c r="Z1" t="s">
        <v>55</v>
      </c>
    </row>
    <row r="2" spans="1:26" x14ac:dyDescent="0.35">
      <c r="C2" s="32"/>
      <c r="E2" s="31" t="s">
        <v>48</v>
      </c>
      <c r="F2" s="32">
        <v>80</v>
      </c>
      <c r="H2" s="31" t="s">
        <v>48</v>
      </c>
      <c r="I2" s="33">
        <v>4000</v>
      </c>
      <c r="L2" s="30" t="s">
        <v>27</v>
      </c>
      <c r="M2" t="s">
        <v>55</v>
      </c>
    </row>
    <row r="3" spans="1:26" x14ac:dyDescent="0.35">
      <c r="A3" s="30" t="s">
        <v>41</v>
      </c>
      <c r="B3" t="s">
        <v>43</v>
      </c>
      <c r="C3" s="32"/>
      <c r="E3" s="31" t="s">
        <v>50</v>
      </c>
      <c r="F3" s="32">
        <v>10</v>
      </c>
      <c r="H3" s="31" t="s">
        <v>50</v>
      </c>
      <c r="I3" s="33">
        <v>100</v>
      </c>
      <c r="L3"/>
      <c r="M3"/>
      <c r="U3" s="30" t="s">
        <v>41</v>
      </c>
      <c r="V3" t="s">
        <v>45</v>
      </c>
      <c r="Y3" s="30" t="s">
        <v>41</v>
      </c>
      <c r="Z3" t="s">
        <v>45</v>
      </c>
    </row>
    <row r="4" spans="1:26" x14ac:dyDescent="0.35">
      <c r="A4" s="31" t="s">
        <v>50</v>
      </c>
      <c r="B4" s="32">
        <v>10</v>
      </c>
      <c r="C4" s="32"/>
      <c r="E4" s="31" t="s">
        <v>53</v>
      </c>
      <c r="F4" s="32">
        <v>0</v>
      </c>
      <c r="H4" s="31" t="s">
        <v>53</v>
      </c>
      <c r="I4" s="33">
        <v>0</v>
      </c>
      <c r="L4" s="30" t="s">
        <v>41</v>
      </c>
      <c r="M4" s="30" t="s">
        <v>9</v>
      </c>
      <c r="N4" t="s">
        <v>45</v>
      </c>
      <c r="P4" s="36" t="s">
        <v>46</v>
      </c>
      <c r="Q4" s="36" t="s">
        <v>9</v>
      </c>
      <c r="R4" s="36" t="s">
        <v>47</v>
      </c>
      <c r="U4" s="31" t="s">
        <v>48</v>
      </c>
      <c r="V4" s="32">
        <v>20</v>
      </c>
      <c r="Y4" s="31" t="s">
        <v>48</v>
      </c>
      <c r="Z4" s="32">
        <v>100</v>
      </c>
    </row>
    <row r="5" spans="1:26" x14ac:dyDescent="0.35">
      <c r="A5" s="31" t="s">
        <v>51</v>
      </c>
      <c r="B5" s="32">
        <v>0</v>
      </c>
      <c r="C5" s="32"/>
      <c r="E5" s="31" t="s">
        <v>52</v>
      </c>
      <c r="F5" s="32">
        <v>0</v>
      </c>
      <c r="H5" s="31" t="s">
        <v>52</v>
      </c>
      <c r="I5" s="33">
        <v>0</v>
      </c>
      <c r="L5" s="31" t="s">
        <v>63</v>
      </c>
      <c r="M5" s="31" t="s">
        <v>50</v>
      </c>
      <c r="N5" s="32">
        <v>15</v>
      </c>
      <c r="P5" s="35" t="str">
        <f>L5</f>
        <v>08/nov</v>
      </c>
      <c r="Q5" s="35" t="str">
        <f>M5</f>
        <v>Produto 2</v>
      </c>
      <c r="R5" s="35">
        <f>N5</f>
        <v>15</v>
      </c>
      <c r="U5" s="31" t="s">
        <v>50</v>
      </c>
      <c r="V5" s="32">
        <v>5</v>
      </c>
      <c r="Y5" s="31" t="s">
        <v>50</v>
      </c>
      <c r="Z5" s="32">
        <v>15</v>
      </c>
    </row>
    <row r="6" spans="1:26" x14ac:dyDescent="0.35">
      <c r="A6" s="31" t="s">
        <v>52</v>
      </c>
      <c r="B6" s="32">
        <v>0</v>
      </c>
      <c r="C6" s="32"/>
      <c r="E6" s="31" t="s">
        <v>54</v>
      </c>
      <c r="F6" s="32">
        <v>0</v>
      </c>
      <c r="H6" s="31" t="s">
        <v>54</v>
      </c>
      <c r="I6" s="33">
        <v>0</v>
      </c>
      <c r="L6" s="31" t="s">
        <v>63</v>
      </c>
      <c r="M6" s="31" t="s">
        <v>48</v>
      </c>
      <c r="N6" s="32">
        <v>100</v>
      </c>
      <c r="P6" s="35" t="str">
        <f t="shared" ref="P6:P9" si="0">L6</f>
        <v>08/nov</v>
      </c>
      <c r="Q6" s="35" t="str">
        <f t="shared" ref="Q6:Q9" si="1">M6</f>
        <v>Produto 1</v>
      </c>
      <c r="R6" s="35">
        <f t="shared" ref="R6:R9" si="2">N6</f>
        <v>100</v>
      </c>
      <c r="U6" s="31" t="s">
        <v>42</v>
      </c>
      <c r="V6" s="32">
        <v>25</v>
      </c>
      <c r="Y6" s="31" t="s">
        <v>42</v>
      </c>
      <c r="Z6" s="32">
        <v>115</v>
      </c>
    </row>
    <row r="7" spans="1:26" x14ac:dyDescent="0.35">
      <c r="A7" s="31" t="s">
        <v>53</v>
      </c>
      <c r="B7" s="32">
        <v>0</v>
      </c>
      <c r="C7" s="32"/>
      <c r="E7" s="31" t="s">
        <v>44</v>
      </c>
      <c r="F7" s="32">
        <v>0</v>
      </c>
      <c r="H7" s="31" t="s">
        <v>44</v>
      </c>
      <c r="I7" s="33">
        <v>0</v>
      </c>
      <c r="L7"/>
      <c r="M7"/>
      <c r="P7" s="35">
        <f t="shared" si="0"/>
        <v>0</v>
      </c>
      <c r="Q7" s="35">
        <f t="shared" si="1"/>
        <v>0</v>
      </c>
      <c r="R7" s="35">
        <f t="shared" si="2"/>
        <v>0</v>
      </c>
    </row>
    <row r="8" spans="1:26" x14ac:dyDescent="0.35">
      <c r="A8" s="31" t="s">
        <v>54</v>
      </c>
      <c r="B8" s="32">
        <v>0</v>
      </c>
      <c r="E8" s="31" t="s">
        <v>51</v>
      </c>
      <c r="F8" s="32">
        <v>0</v>
      </c>
      <c r="H8" s="31" t="s">
        <v>51</v>
      </c>
      <c r="I8" s="33">
        <v>0</v>
      </c>
      <c r="L8"/>
      <c r="M8"/>
      <c r="P8" s="35">
        <f t="shared" si="0"/>
        <v>0</v>
      </c>
      <c r="Q8" s="35">
        <f t="shared" si="1"/>
        <v>0</v>
      </c>
      <c r="R8" s="35">
        <f t="shared" si="2"/>
        <v>0</v>
      </c>
    </row>
    <row r="9" spans="1:26" x14ac:dyDescent="0.35">
      <c r="A9" s="31" t="s">
        <v>42</v>
      </c>
      <c r="B9" s="32">
        <v>10</v>
      </c>
      <c r="E9" s="31" t="s">
        <v>42</v>
      </c>
      <c r="F9" s="32">
        <v>90</v>
      </c>
      <c r="H9" s="31" t="s">
        <v>42</v>
      </c>
      <c r="I9" s="33">
        <v>4100</v>
      </c>
      <c r="L9"/>
      <c r="M9"/>
      <c r="P9" s="35">
        <f t="shared" si="0"/>
        <v>0</v>
      </c>
      <c r="Q9" s="35">
        <f t="shared" si="1"/>
        <v>0</v>
      </c>
      <c r="R9" s="35">
        <f t="shared" si="2"/>
        <v>0</v>
      </c>
    </row>
    <row r="10" spans="1:26" x14ac:dyDescent="0.35">
      <c r="I10"/>
      <c r="J10"/>
      <c r="L10"/>
      <c r="M10"/>
    </row>
    <row r="11" spans="1:26" x14ac:dyDescent="0.35">
      <c r="I11"/>
      <c r="J11"/>
      <c r="L11"/>
      <c r="M11"/>
    </row>
    <row r="12" spans="1:26" x14ac:dyDescent="0.35">
      <c r="I12"/>
      <c r="J12"/>
      <c r="L12"/>
      <c r="M12"/>
    </row>
    <row r="13" spans="1:26" x14ac:dyDescent="0.35">
      <c r="I13"/>
      <c r="J13"/>
      <c r="L13"/>
      <c r="M13"/>
    </row>
    <row r="14" spans="1:26" x14ac:dyDescent="0.35">
      <c r="I14"/>
      <c r="J14"/>
      <c r="L14"/>
      <c r="M14"/>
    </row>
    <row r="15" spans="1:26" x14ac:dyDescent="0.35">
      <c r="I15"/>
      <c r="J15"/>
      <c r="L15"/>
      <c r="M15"/>
    </row>
    <row r="16" spans="1:26" x14ac:dyDescent="0.35">
      <c r="I16"/>
      <c r="J16"/>
      <c r="L16"/>
      <c r="M16"/>
    </row>
    <row r="17" spans="9:13" x14ac:dyDescent="0.35">
      <c r="I17"/>
      <c r="J17"/>
      <c r="L17"/>
      <c r="M17"/>
    </row>
    <row r="18" spans="9:13" x14ac:dyDescent="0.35">
      <c r="I18"/>
      <c r="J18"/>
      <c r="L18"/>
      <c r="M18"/>
    </row>
    <row r="19" spans="9:13" x14ac:dyDescent="0.35">
      <c r="I19"/>
      <c r="J19"/>
      <c r="L19"/>
      <c r="M19"/>
    </row>
    <row r="20" spans="9:13" x14ac:dyDescent="0.35">
      <c r="I20"/>
      <c r="J20"/>
      <c r="L20"/>
      <c r="M20"/>
    </row>
    <row r="21" spans="9:13" x14ac:dyDescent="0.35">
      <c r="I21"/>
      <c r="J21"/>
      <c r="L21"/>
      <c r="M21"/>
    </row>
    <row r="22" spans="9:13" x14ac:dyDescent="0.35">
      <c r="I22"/>
      <c r="J22"/>
      <c r="L22"/>
      <c r="M22"/>
    </row>
    <row r="23" spans="9:13" x14ac:dyDescent="0.35">
      <c r="I23"/>
      <c r="J23"/>
      <c r="L23"/>
      <c r="M23"/>
    </row>
    <row r="24" spans="9:13" x14ac:dyDescent="0.35">
      <c r="I24"/>
      <c r="J24"/>
      <c r="L24"/>
      <c r="M24"/>
    </row>
    <row r="25" spans="9:13" x14ac:dyDescent="0.35">
      <c r="I25"/>
      <c r="J25"/>
      <c r="L25"/>
      <c r="M25"/>
    </row>
    <row r="26" spans="9:13" x14ac:dyDescent="0.35">
      <c r="I26"/>
      <c r="J26"/>
      <c r="L26"/>
      <c r="M26"/>
    </row>
    <row r="27" spans="9:13" x14ac:dyDescent="0.35">
      <c r="L27"/>
      <c r="M27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7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A79FA87A3D8904EADCD3BA680900A4C" ma:contentTypeVersion="11" ma:contentTypeDescription="Crie um novo documento." ma:contentTypeScope="" ma:versionID="901820da100fce07c0fc20ce84fa453d">
  <xsd:schema xmlns:xsd="http://www.w3.org/2001/XMLSchema" xmlns:xs="http://www.w3.org/2001/XMLSchema" xmlns:p="http://schemas.microsoft.com/office/2006/metadata/properties" xmlns:ns3="0204dfed-6e98-4015-bf9a-d75d1850e129" xmlns:ns4="8ce76665-c74a-4abe-a251-606bd3042eb3" targetNamespace="http://schemas.microsoft.com/office/2006/metadata/properties" ma:root="true" ma:fieldsID="557fa8d1803b15bd5350b86df66f635f" ns3:_="" ns4:_="">
    <xsd:import namespace="0204dfed-6e98-4015-bf9a-d75d1850e129"/>
    <xsd:import namespace="8ce76665-c74a-4abe-a251-606bd3042eb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04dfed-6e98-4015-bf9a-d75d1850e12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description="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OCR" ma:index="16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e76665-c74a-4abe-a251-606bd3042eb3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Compartilhado com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Detalhes de Compartilhado Com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Hash de Dica de Compartilhamento" ma:description="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1643CE7-34AD-4569-92B2-219799C3164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2503A23-6CF0-4962-BB03-2144B4A3A2E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204dfed-6e98-4015-bf9a-d75d1850e129"/>
    <ds:schemaRef ds:uri="8ce76665-c74a-4abe-a251-606bd3042e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38975DE-79DF-41CA-BB83-05B09A5B7127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Menu</vt:lpstr>
      <vt:lpstr>Clientes</vt:lpstr>
      <vt:lpstr>Produtos</vt:lpstr>
      <vt:lpstr>Vendas</vt:lpstr>
      <vt:lpstr>Relatório</vt:lpstr>
      <vt:lpstr>Instruções</vt:lpstr>
      <vt:lpstr>BDClientes</vt:lpstr>
      <vt:lpstr>BDProdutos</vt:lpstr>
      <vt:lpstr>BDVendas</vt:lpstr>
      <vt:lpstr>BDMovEstoque</vt:lpstr>
      <vt:lpstr>Tab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Silas Galvino</dc:creator>
  <cp:lastModifiedBy>Viviane Canna Brasil Sousa</cp:lastModifiedBy>
  <cp:lastPrinted>2021-10-25T14:10:57Z</cp:lastPrinted>
  <dcterms:created xsi:type="dcterms:W3CDTF">2019-05-24T12:18:33Z</dcterms:created>
  <dcterms:modified xsi:type="dcterms:W3CDTF">2022-01-13T19:17:36Z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0x0101008A79FA87A3D8904EADCD3BA680900A4C</vt:lpwstr>
  </property>
</Properties>
</file>