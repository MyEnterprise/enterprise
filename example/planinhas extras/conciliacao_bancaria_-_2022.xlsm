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braepr-my.sharepoint.com/personal/viviane_brasil_sebraepr_onmicrosoft_com/Documents/Cópia OneDrive 10 07/OneDrive/Planilhas/PLANILHA 2021/03 - CONCILIAÇÃO BANCÁRIA/"/>
    </mc:Choice>
  </mc:AlternateContent>
  <xr:revisionPtr revIDLastSave="1" documentId="8_{40BDD5C7-62FC-441A-9E44-AC70D60E3DE5}" xr6:coauthVersionLast="46" xr6:coauthVersionMax="46" xr10:uidLastSave="{8BD018AB-85DD-411D-B51C-4B4BEE0B6CF5}"/>
  <bookViews>
    <workbookView xWindow="-110" yWindow="-110" windowWidth="19420" windowHeight="10420" tabRatio="0" firstSheet="2" activeTab="2" xr2:uid="{B3B1BE14-F09C-407A-9692-42B8B0CC6224}"/>
  </bookViews>
  <sheets>
    <sheet name="Menu" sheetId="11" r:id="rId1"/>
    <sheet name="CB" sheetId="13" r:id="rId2"/>
    <sheet name="Dash" sheetId="21" r:id="rId3"/>
    <sheet name="Instruções" sheetId="20" r:id="rId4"/>
  </sheets>
  <definedNames>
    <definedName name="_xlnm.Print_Area" localSheetId="1">CB!$B$1:$I$57</definedName>
    <definedName name="_xlnm.Print_Area" localSheetId="2">Dash!$A$1:$U$35</definedName>
    <definedName name="produt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21" l="1"/>
  <c r="C11" i="13"/>
  <c r="O21" i="21" l="1"/>
  <c r="Q21" i="21"/>
  <c r="J20" i="21"/>
  <c r="F20" i="21"/>
  <c r="C20" i="21"/>
  <c r="K18" i="21"/>
  <c r="H18" i="21"/>
  <c r="J14" i="21"/>
  <c r="B14" i="21"/>
  <c r="D18" i="21" l="1"/>
  <c r="B18" i="21"/>
  <c r="O22" i="21"/>
  <c r="I25" i="13"/>
  <c r="I26" i="13" s="1"/>
  <c r="I27" i="13" s="1"/>
  <c r="I28" i="13" s="1"/>
  <c r="I29" i="13" s="1"/>
  <c r="I30" i="13" s="1"/>
  <c r="I31" i="13" s="1"/>
  <c r="I32" i="13" s="1"/>
  <c r="I33" i="13" s="1"/>
  <c r="I34" i="13" s="1"/>
  <c r="I35" i="13" s="1"/>
  <c r="I36" i="13" s="1"/>
  <c r="I37" i="13" s="1"/>
  <c r="I38" i="13" s="1"/>
  <c r="I39" i="13" s="1"/>
  <c r="I40" i="13" s="1"/>
  <c r="I41" i="13" s="1"/>
  <c r="I42" i="13" s="1"/>
  <c r="I43" i="13" s="1"/>
  <c r="I44" i="13" s="1"/>
  <c r="I45" i="13" s="1"/>
  <c r="I46" i="13" s="1"/>
  <c r="I47" i="13" s="1"/>
  <c r="I48" i="13" s="1"/>
  <c r="I49" i="13" s="1"/>
  <c r="I50" i="13" l="1"/>
  <c r="Q22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tc={BC54FBCD-88E0-4ABF-AE5A-A3B61F1BDAA4}</author>
    <author>tc={88742524-05A2-4DB2-88DA-00EA6398BB9B}</author>
  </authors>
  <commentList>
    <comment ref="B14" authorId="0" shapeId="0" xr:uid="{BC54FBCD-88E0-4ABF-AE5A-A3B61F1BDAA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Digite o nome do responsável pela conferência.</t>
      </text>
    </comment>
    <comment ref="G14" authorId="1" shapeId="0" xr:uid="{88742524-05A2-4DB2-88DA-00EA6398BB9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Digite a data da conferência</t>
      </text>
    </comment>
  </commentList>
</comments>
</file>

<file path=xl/sharedStrings.xml><?xml version="1.0" encoding="utf-8"?>
<sst xmlns="http://schemas.openxmlformats.org/spreadsheetml/2006/main" count="50" uniqueCount="36">
  <si>
    <t>RESPONSÁVEL PELA CONFERÊNCIA</t>
  </si>
  <si>
    <t>PRESTAÇÃO DE CONTAS</t>
  </si>
  <si>
    <t>(          )</t>
  </si>
  <si>
    <t>Parcial</t>
  </si>
  <si>
    <t>Final</t>
  </si>
  <si>
    <t>Período</t>
  </si>
  <si>
    <t>a</t>
  </si>
  <si>
    <t>Banco:</t>
  </si>
  <si>
    <t>Agência:</t>
  </si>
  <si>
    <t>Conta Corrente:</t>
  </si>
  <si>
    <t>MOVIMENTAÇÃO BANCÁRIA</t>
  </si>
  <si>
    <t>Discriminação</t>
  </si>
  <si>
    <t>Cód. operação bancária</t>
  </si>
  <si>
    <t>Nota fiscal</t>
  </si>
  <si>
    <t>Categoria</t>
  </si>
  <si>
    <t>Observação</t>
  </si>
  <si>
    <t>Crédito/Débito</t>
  </si>
  <si>
    <t>SALDO (R$)</t>
  </si>
  <si>
    <t>Saldo Inicial</t>
  </si>
  <si>
    <t>SALDO DISPONÍVEL</t>
  </si>
  <si>
    <t>Unidade Executora</t>
  </si>
  <si>
    <t>Responsável pela Execução</t>
  </si>
  <si>
    <t>Assinatura</t>
  </si>
  <si>
    <t>DATA DA CONFERÊNCIA</t>
  </si>
  <si>
    <t>Débitos</t>
  </si>
  <si>
    <t>Créditos</t>
  </si>
  <si>
    <t>Saldo Disponível</t>
  </si>
  <si>
    <r>
      <t xml:space="preserve">O valor do </t>
    </r>
    <r>
      <rPr>
        <b/>
        <sz val="11"/>
        <color theme="8" tint="-0.499984740745262"/>
        <rFont val="Calibri"/>
        <family val="2"/>
        <scheme val="minor"/>
      </rPr>
      <t>Saldo Disponível</t>
    </r>
    <r>
      <rPr>
        <sz val="11"/>
        <color theme="8" tint="-0.499984740745262"/>
        <rFont val="Calibri"/>
        <family val="2"/>
        <scheme val="minor"/>
      </rPr>
      <t xml:space="preserve"> deverá ser o mesmo valor constado no </t>
    </r>
    <r>
      <rPr>
        <b/>
        <sz val="11"/>
        <color theme="8" tint="-0.499984740745262"/>
        <rFont val="Calibri"/>
        <family val="2"/>
        <scheme val="minor"/>
      </rPr>
      <t>Extrato Bancário</t>
    </r>
    <r>
      <rPr>
        <sz val="11"/>
        <color theme="8" tint="-0.499984740745262"/>
        <rFont val="Calibri"/>
        <family val="2"/>
        <scheme val="minor"/>
      </rPr>
      <t xml:space="preserve"> do período.</t>
    </r>
  </si>
  <si>
    <t>Empresa:</t>
  </si>
  <si>
    <t>Empresa ABCDE</t>
  </si>
  <si>
    <t>Silas Galvino</t>
  </si>
  <si>
    <t>Fornecedor</t>
  </si>
  <si>
    <t>Pagamento</t>
  </si>
  <si>
    <t>Cliente</t>
  </si>
  <si>
    <t>Recebimento</t>
  </si>
  <si>
    <t>(     x    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</si>
</sst>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R$&quot;* #,##0.00_-;\-&quot;R$&quot;* #,##0.00_-;_-&quot;R$&quot;* &quot;-&quot;??_-;_-@_-"/>
    <numFmt numFmtId="165" formatCode="&quot;R$&quot;#,##0.00"/>
  </numFmts>
  <fonts count="10" x14ac:knownFonts="1">
    <font>
      <sz val="11"/>
      <color theme="1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8" tint="-0.499984740745262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34998626667073579"/>
      </right>
      <top/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55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2" fillId="0" borderId="0" xfId="0" applyFont="1" applyAlignment="1" applyProtection="1">
      <alignment horizontal="right" vertical="center"/>
      <protection locked="0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 applyProtection="1">
      <alignment vertical="center"/>
      <protection locked="0"/>
    </xf>
    <xf numFmtId="0" fontId="2" fillId="6" borderId="5" xfId="0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165" fontId="6" fillId="0" borderId="5" xfId="0" applyNumberFormat="1" applyFont="1" applyBorder="1" applyAlignment="1">
      <alignment horizontal="center" vertical="center"/>
    </xf>
    <xf numFmtId="165" fontId="6" fillId="0" borderId="5" xfId="0" applyNumberFormat="1" applyFont="1" applyBorder="1" applyAlignment="1" applyProtection="1">
      <alignment horizontal="center" vertical="center"/>
      <protection locked="0"/>
    </xf>
    <xf numFmtId="0" fontId="6" fillId="5" borderId="5" xfId="0" applyFont="1" applyFill="1" applyBorder="1" applyAlignment="1" applyProtection="1">
      <alignment vertical="center"/>
      <protection locked="0"/>
    </xf>
    <xf numFmtId="165" fontId="6" fillId="5" borderId="5" xfId="0" applyNumberFormat="1" applyFont="1" applyFill="1" applyBorder="1" applyAlignment="1" applyProtection="1">
      <alignment horizontal="center" vertical="center"/>
      <protection locked="0"/>
    </xf>
    <xf numFmtId="0" fontId="6" fillId="5" borderId="5" xfId="0" applyFont="1" applyFill="1" applyBorder="1" applyAlignment="1">
      <alignment vertical="center"/>
    </xf>
    <xf numFmtId="165" fontId="6" fillId="5" borderId="5" xfId="0" applyNumberFormat="1" applyFont="1" applyFill="1" applyBorder="1" applyAlignment="1">
      <alignment horizontal="center" vertical="center"/>
    </xf>
    <xf numFmtId="0" fontId="6" fillId="0" borderId="5" xfId="0" applyFont="1" applyBorder="1" applyAlignment="1" applyProtection="1">
      <alignment vertical="center"/>
      <protection locked="0"/>
    </xf>
    <xf numFmtId="0" fontId="2" fillId="4" borderId="6" xfId="0" applyFont="1" applyFill="1" applyBorder="1" applyAlignment="1">
      <alignment vertical="center"/>
    </xf>
    <xf numFmtId="0" fontId="6" fillId="4" borderId="7" xfId="0" applyFont="1" applyFill="1" applyBorder="1"/>
    <xf numFmtId="165" fontId="6" fillId="4" borderId="7" xfId="0" applyNumberFormat="1" applyFont="1" applyFill="1" applyBorder="1"/>
    <xf numFmtId="165" fontId="2" fillId="4" borderId="8" xfId="0" applyNumberFormat="1" applyFont="1" applyFill="1" applyBorder="1" applyAlignment="1">
      <alignment horizontal="center" vertical="center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14" fontId="0" fillId="0" borderId="4" xfId="0" applyNumberForma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right" vertical="center"/>
    </xf>
    <xf numFmtId="0" fontId="7" fillId="0" borderId="0" xfId="0" applyFont="1"/>
    <xf numFmtId="164" fontId="7" fillId="0" borderId="0" xfId="1" applyFont="1"/>
    <xf numFmtId="164" fontId="7" fillId="0" borderId="0" xfId="0" applyNumberFormat="1" applyFont="1"/>
    <xf numFmtId="0" fontId="8" fillId="0" borderId="0" xfId="0" applyFont="1" applyAlignment="1">
      <alignment vertical="center"/>
    </xf>
    <xf numFmtId="0" fontId="9" fillId="0" borderId="0" xfId="0" applyFont="1" applyBorder="1" applyAlignment="1" applyProtection="1">
      <alignment vertical="center"/>
      <protection locked="0"/>
    </xf>
    <xf numFmtId="0" fontId="8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left" vertical="center"/>
      <protection locked="0"/>
    </xf>
    <xf numFmtId="0" fontId="9" fillId="0" borderId="2" xfId="0" applyFont="1" applyBorder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horizontal="left" vertical="center"/>
    </xf>
    <xf numFmtId="0" fontId="9" fillId="0" borderId="2" xfId="0" applyFont="1" applyBorder="1" applyAlignment="1" applyProtection="1">
      <alignment horizontal="left" vertical="center"/>
    </xf>
    <xf numFmtId="0" fontId="9" fillId="0" borderId="3" xfId="0" applyFont="1" applyBorder="1" applyAlignment="1" applyProtection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5" fillId="0" borderId="9" xfId="0" applyFont="1" applyBorder="1" applyAlignment="1">
      <alignment horizontal="center"/>
    </xf>
    <xf numFmtId="0" fontId="2" fillId="3" borderId="0" xfId="0" applyFont="1" applyFill="1" applyAlignment="1">
      <alignment horizontal="left" vertical="center"/>
    </xf>
    <xf numFmtId="14" fontId="5" fillId="0" borderId="0" xfId="0" applyNumberFormat="1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>
      <alignment horizontal="left"/>
    </xf>
    <xf numFmtId="14" fontId="0" fillId="0" borderId="1" xfId="0" applyNumberFormat="1" applyBorder="1" applyAlignment="1" applyProtection="1">
      <alignment horizontal="center" vertical="center"/>
    </xf>
    <xf numFmtId="14" fontId="0" fillId="0" borderId="3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14" fontId="5" fillId="0" borderId="0" xfId="0" applyNumberFormat="1" applyFont="1" applyAlignment="1" applyProtection="1">
      <alignment horizontal="left" vertical="center"/>
    </xf>
  </cellXfs>
  <cellStyles count="2">
    <cellStyle name="Moeda" xfId="1" builtinId="4"/>
    <cellStyle name="Normal" xfId="0" builtinId="0"/>
  </cellStyles>
  <dxfs count="3">
    <dxf>
      <font>
        <color theme="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E4F2F4"/>
      <color rgb="FFE5F5FF"/>
      <color rgb="FFCCECFF"/>
      <color rgb="FFE7FFFF"/>
      <color rgb="FFCCFFFF"/>
      <color rgb="FFFF9900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Dash!$P$21:$P$22</c:f>
              <c:strCache>
                <c:ptCount val="2"/>
                <c:pt idx="0">
                  <c:v>Saldo Inicial</c:v>
                </c:pt>
                <c:pt idx="1">
                  <c:v>Saldo Disponível</c:v>
                </c:pt>
              </c:strCache>
            </c:strRef>
          </c:cat>
          <c:val>
            <c:numRef>
              <c:f>Dash!$Q$21:$Q$22</c:f>
              <c:numCache>
                <c:formatCode>_-"R$"* #,##0.00_-;\-"R$"* #,##0.00_-;_-"R$"* "-"??_-;_-@_-</c:formatCode>
                <c:ptCount val="2"/>
                <c:pt idx="0">
                  <c:v>2000</c:v>
                </c:pt>
                <c:pt idx="1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2F-4D08-9F47-DE7D81225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4958504"/>
        <c:axId val="544959160"/>
      </c:barChart>
      <c:catAx>
        <c:axId val="544958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4959160"/>
        <c:crosses val="autoZero"/>
        <c:auto val="1"/>
        <c:lblAlgn val="ctr"/>
        <c:lblOffset val="100"/>
        <c:noMultiLvlLbl val="0"/>
      </c:catAx>
      <c:valAx>
        <c:axId val="544959160"/>
        <c:scaling>
          <c:orientation val="minMax"/>
        </c:scaling>
        <c:delete val="1"/>
        <c:axPos val="l"/>
        <c:numFmt formatCode="_-&quot;R$&quot;* #,##0.00_-;\-&quot;R$&quot;* #,##0.00_-;_-&quot;R$&quot;* &quot;-&quot;??_-;_-@_-" sourceLinked="1"/>
        <c:majorTickMark val="none"/>
        <c:minorTickMark val="none"/>
        <c:tickLblPos val="nextTo"/>
        <c:crossAx val="54495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1BE-42B3-8FEF-7B456ED02E61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1BE-42B3-8FEF-7B456ED02E6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1BE-42B3-8FEF-7B456ED02E6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1BE-42B3-8FEF-7B456ED02E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Dash!$N$21:$N$22</c:f>
              <c:strCache>
                <c:ptCount val="2"/>
                <c:pt idx="0">
                  <c:v>Débitos</c:v>
                </c:pt>
                <c:pt idx="1">
                  <c:v>Créditos</c:v>
                </c:pt>
              </c:strCache>
            </c:strRef>
          </c:cat>
          <c:val>
            <c:numRef>
              <c:f>Dash!$O$21:$O$22</c:f>
              <c:numCache>
                <c:formatCode>_-"R$"* #,##0.00_-;\-"R$"* #,##0.00_-;_-"R$"* "-"??_-;_-@_-</c:formatCode>
                <c:ptCount val="2"/>
                <c:pt idx="0">
                  <c:v>500</c:v>
                </c:pt>
                <c:pt idx="1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E-42B3-8FEF-7B456ED02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4958504"/>
        <c:axId val="544959160"/>
      </c:barChart>
      <c:catAx>
        <c:axId val="544958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4959160"/>
        <c:crosses val="autoZero"/>
        <c:auto val="1"/>
        <c:lblAlgn val="ctr"/>
        <c:lblOffset val="100"/>
        <c:noMultiLvlLbl val="0"/>
      </c:catAx>
      <c:valAx>
        <c:axId val="544959160"/>
        <c:scaling>
          <c:orientation val="minMax"/>
        </c:scaling>
        <c:delete val="1"/>
        <c:axPos val="l"/>
        <c:numFmt formatCode="_-&quot;R$&quot;* #,##0.00_-;\-&quot;R$&quot;* #,##0.00_-;_-&quot;R$&quot;* &quot;-&quot;??_-;_-@_-" sourceLinked="1"/>
        <c:majorTickMark val="none"/>
        <c:minorTickMark val="none"/>
        <c:tickLblPos val="nextTo"/>
        <c:crossAx val="54495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#CB!A1"/><Relationship Id="rId1" Type="http://schemas.openxmlformats.org/officeDocument/2006/relationships/image" Target="../media/image1.png"/><Relationship Id="rId6" Type="http://schemas.openxmlformats.org/officeDocument/2006/relationships/hyperlink" Target="#CG!A1"/><Relationship Id="rId5" Type="http://schemas.openxmlformats.org/officeDocument/2006/relationships/image" Target="../media/image3.png"/><Relationship Id="rId4" Type="http://schemas.openxmlformats.org/officeDocument/2006/relationships/hyperlink" Target="#Instru&#231;&#245;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!A1"/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Menu!A1"/><Relationship Id="rId4" Type="http://schemas.openxmlformats.org/officeDocument/2006/relationships/hyperlink" Target="#CB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6.emf"/><Relationship Id="rId1" Type="http://schemas.openxmlformats.org/officeDocument/2006/relationships/image" Target="../media/image5.png"/><Relationship Id="rId6" Type="http://schemas.openxmlformats.org/officeDocument/2006/relationships/image" Target="../media/image7.emf"/><Relationship Id="rId5" Type="http://schemas.openxmlformats.org/officeDocument/2006/relationships/hyperlink" Target="#CB!A1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129540</xdr:colOff>
      <xdr:row>0</xdr:row>
      <xdr:rowOff>0</xdr:rowOff>
    </xdr:from>
    <xdr:ext cx="456438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02638DC-1D2C-4D70-9209-F3090CAE173E}"/>
            </a:ext>
          </a:extLst>
        </xdr:cNvPr>
        <xdr:cNvSpPr txBox="1"/>
      </xdr:nvSpPr>
      <xdr:spPr>
        <a:xfrm>
          <a:off x="2567940" y="0"/>
          <a:ext cx="456438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Conciliação Bancária</a:t>
          </a:r>
        </a:p>
      </xdr:txBody>
    </xdr:sp>
    <xdr:clientData/>
  </xdr:oneCellAnchor>
  <xdr:twoCellAnchor editAs="absolute">
    <xdr:from>
      <xdr:col>0</xdr:col>
      <xdr:colOff>320041</xdr:colOff>
      <xdr:row>0</xdr:row>
      <xdr:rowOff>0</xdr:rowOff>
    </xdr:from>
    <xdr:to>
      <xdr:col>3</xdr:col>
      <xdr:colOff>444242</xdr:colOff>
      <xdr:row>3</xdr:row>
      <xdr:rowOff>9360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75E4FC4-73BE-4213-8913-6C15B9C7FC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1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129540</xdr:colOff>
      <xdr:row>8</xdr:row>
      <xdr:rowOff>110490</xdr:rowOff>
    </xdr:from>
    <xdr:to>
      <xdr:col>6</xdr:col>
      <xdr:colOff>242340</xdr:colOff>
      <xdr:row>10</xdr:row>
      <xdr:rowOff>9290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86A253-4262-4AAF-B68D-515480C67A72}"/>
            </a:ext>
          </a:extLst>
        </xdr:cNvPr>
        <xdr:cNvSpPr txBox="1"/>
      </xdr:nvSpPr>
      <xdr:spPr>
        <a:xfrm>
          <a:off x="2567940" y="86487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oneCellAnchor>
    <xdr:from>
      <xdr:col>4</xdr:col>
      <xdr:colOff>129540</xdr:colOff>
      <xdr:row>10</xdr:row>
      <xdr:rowOff>152400</xdr:rowOff>
    </xdr:from>
    <xdr:ext cx="10843260" cy="2377440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21B3FEE2-5CE5-4657-A083-75F09212D5AE}"/>
            </a:ext>
          </a:extLst>
        </xdr:cNvPr>
        <xdr:cNvSpPr txBox="1"/>
      </xdr:nvSpPr>
      <xdr:spPr>
        <a:xfrm>
          <a:off x="2567940" y="1272540"/>
          <a:ext cx="10843260" cy="2377440"/>
        </a:xfrm>
        <a:prstGeom prst="rect">
          <a:avLst/>
        </a:prstGeom>
        <a:solidFill>
          <a:srgbClr val="E4F2F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8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Você usará esta planilha para confrontar as movimentações financeiras da conta bancária da sua empresa com os lançamentos previstos de entradas e saídas — a conciliação bancária. É por meio dela que você fará a conferência das tarifas bancárias, dos pagamentos de fornecedores, dos recebimentos, dos impostos, entre outros, para manter o controle financeiro do negócio. </a:t>
          </a:r>
        </a:p>
        <a:p>
          <a:endParaRPr lang="pt-BR" sz="2800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oneCell">
    <xdr:from>
      <xdr:col>0</xdr:col>
      <xdr:colOff>0</xdr:colOff>
      <xdr:row>11</xdr:row>
      <xdr:rowOff>7620</xdr:rowOff>
    </xdr:from>
    <xdr:to>
      <xdr:col>4</xdr:col>
      <xdr:colOff>12456</xdr:colOff>
      <xdr:row>23</xdr:row>
      <xdr:rowOff>144779</xdr:rowOff>
    </xdr:to>
    <xdr:pic>
      <xdr:nvPicPr>
        <xdr:cNvPr id="11" name="Imagem 10" descr="Imagem relacionada">
          <a:extLst>
            <a:ext uri="{FF2B5EF4-FFF2-40B4-BE49-F238E27FC236}">
              <a16:creationId xmlns:a16="http://schemas.microsoft.com/office/drawing/2014/main" id="{5A844E38-CD9D-47DD-8A92-083965079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0640"/>
          <a:ext cx="2450856" cy="2331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17</xdr:col>
      <xdr:colOff>480060</xdr:colOff>
      <xdr:row>25</xdr:row>
      <xdr:rowOff>144780</xdr:rowOff>
    </xdr:from>
    <xdr:ext cx="2141805" cy="26456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7B8F10D1-1AA1-47DF-A37C-589F77B3F177}"/>
            </a:ext>
          </a:extLst>
        </xdr:cNvPr>
        <xdr:cNvSpPr txBox="1"/>
      </xdr:nvSpPr>
      <xdr:spPr>
        <a:xfrm>
          <a:off x="10843260" y="4008120"/>
          <a:ext cx="21418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>
                  <a:lumMod val="65000"/>
                </a:schemeClr>
              </a:solidFill>
            </a:rPr>
            <a:t>Esta planilha foi desenvolvida</a:t>
          </a:r>
          <a:r>
            <a:rPr lang="pt-BR" sz="1100" baseline="0">
              <a:solidFill>
                <a:schemeClr val="bg1">
                  <a:lumMod val="65000"/>
                </a:schemeClr>
              </a:solidFill>
            </a:rPr>
            <a:t> por:</a:t>
          </a:r>
          <a:endParaRPr lang="pt-BR" sz="1100">
            <a:solidFill>
              <a:schemeClr val="bg1">
                <a:lumMod val="65000"/>
              </a:schemeClr>
            </a:solidFill>
          </a:endParaRPr>
        </a:p>
      </xdr:txBody>
    </xdr:sp>
    <xdr:clientData/>
  </xdr:oneCellAnchor>
  <xdr:twoCellAnchor editAs="absolute">
    <xdr:from>
      <xdr:col>17</xdr:col>
      <xdr:colOff>495300</xdr:colOff>
      <xdr:row>27</xdr:row>
      <xdr:rowOff>22860</xdr:rowOff>
    </xdr:from>
    <xdr:to>
      <xdr:col>21</xdr:col>
      <xdr:colOff>470180</xdr:colOff>
      <xdr:row>30</xdr:row>
      <xdr:rowOff>14220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67FBD533-52AE-4101-BD95-BAE7921EB82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83" b="11100"/>
        <a:stretch/>
      </xdr:blipFill>
      <xdr:spPr bwMode="auto">
        <a:xfrm>
          <a:off x="10858500" y="4335780"/>
          <a:ext cx="2413280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551997</xdr:colOff>
      <xdr:row>27</xdr:row>
      <xdr:rowOff>106680</xdr:rowOff>
    </xdr:from>
    <xdr:to>
      <xdr:col>9</xdr:col>
      <xdr:colOff>396467</xdr:colOff>
      <xdr:row>30</xdr:row>
      <xdr:rowOff>31241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84703A2-06FC-42CA-80AC-71A51D239CFB}"/>
            </a:ext>
          </a:extLst>
        </xdr:cNvPr>
        <xdr:cNvGrpSpPr/>
      </xdr:nvGrpSpPr>
      <xdr:grpSpPr>
        <a:xfrm>
          <a:off x="4285797" y="4456430"/>
          <a:ext cx="1711370" cy="477011"/>
          <a:chOff x="2685597" y="4343400"/>
          <a:chExt cx="1673270" cy="473201"/>
        </a:xfrm>
      </xdr:grpSpPr>
      <xdr:sp macro="" textlink="">
        <xdr:nvSpPr>
          <xdr:cNvPr id="21" name="CaixaDeTexto 2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CB0FBE3-423B-4735-9675-F0C3351CED15}"/>
              </a:ext>
            </a:extLst>
          </xdr:cNvPr>
          <xdr:cNvSpPr txBox="1"/>
        </xdr:nvSpPr>
        <xdr:spPr>
          <a:xfrm>
            <a:off x="2956560" y="4442460"/>
            <a:ext cx="1402307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INSTRUÇÕES</a:t>
            </a:r>
          </a:p>
        </xdr:txBody>
      </xdr:sp>
      <xdr:pic>
        <xdr:nvPicPr>
          <xdr:cNvPr id="5" name="Imagem 4">
            <a:extLst>
              <a:ext uri="{FF2B5EF4-FFF2-40B4-BE49-F238E27FC236}">
                <a16:creationId xmlns:a16="http://schemas.microsoft.com/office/drawing/2014/main" id="{ED738C14-6F44-462D-A49F-A9664A8466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85597" y="4343400"/>
            <a:ext cx="324303" cy="381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160020</xdr:colOff>
      <xdr:row>27</xdr:row>
      <xdr:rowOff>83820</xdr:rowOff>
    </xdr:from>
    <xdr:to>
      <xdr:col>6</xdr:col>
      <xdr:colOff>327661</xdr:colOff>
      <xdr:row>30</xdr:row>
      <xdr:rowOff>35623</xdr:rowOff>
    </xdr:to>
    <xdr:grpSp>
      <xdr:nvGrpSpPr>
        <xdr:cNvPr id="13" name="Agrupar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5D61A0-9866-49E0-89C1-61B91D6F25E6}"/>
            </a:ext>
          </a:extLst>
        </xdr:cNvPr>
        <xdr:cNvGrpSpPr/>
      </xdr:nvGrpSpPr>
      <xdr:grpSpPr>
        <a:xfrm>
          <a:off x="2649220" y="4433570"/>
          <a:ext cx="1412241" cy="504253"/>
          <a:chOff x="2598420" y="4323778"/>
          <a:chExt cx="1386841" cy="500443"/>
        </a:xfrm>
      </xdr:grpSpPr>
      <xdr:pic>
        <xdr:nvPicPr>
          <xdr:cNvPr id="15" name="Imagem 14" descr="Play Red Button transparent PNG - StickPNG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191DD43-5598-4C5D-AD65-3FA3276D319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98420" y="4323778"/>
            <a:ext cx="487680" cy="423208"/>
          </a:xfrm>
          <a:prstGeom prst="rect">
            <a:avLst/>
          </a:prstGeom>
          <a:solidFill>
            <a:srgbClr val="FFFFFF"/>
          </a:solidFill>
        </xdr:spPr>
      </xdr:pic>
      <xdr:sp macro="" textlink="">
        <xdr:nvSpPr>
          <xdr:cNvPr id="16" name="CaixaDeTexto 1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97E90F3-DA7D-4781-A99E-E130FD9F762D}"/>
              </a:ext>
            </a:extLst>
          </xdr:cNvPr>
          <xdr:cNvSpPr txBox="1"/>
        </xdr:nvSpPr>
        <xdr:spPr>
          <a:xfrm>
            <a:off x="3063241" y="4450080"/>
            <a:ext cx="92202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INICIAR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1363980</xdr:colOff>
      <xdr:row>0</xdr:row>
      <xdr:rowOff>0</xdr:rowOff>
    </xdr:from>
    <xdr:ext cx="534162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9A94223-6EB8-4B4B-8DF2-C99BDD090D9F}"/>
            </a:ext>
          </a:extLst>
        </xdr:cNvPr>
        <xdr:cNvSpPr txBox="1"/>
      </xdr:nvSpPr>
      <xdr:spPr>
        <a:xfrm>
          <a:off x="2567940" y="0"/>
          <a:ext cx="53416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Conciliação Bancária</a:t>
          </a:r>
        </a:p>
      </xdr:txBody>
    </xdr:sp>
    <xdr:clientData/>
  </xdr:oneCellAnchor>
  <xdr:twoCellAnchor editAs="absolute">
    <xdr:from>
      <xdr:col>1</xdr:col>
      <xdr:colOff>198120</xdr:colOff>
      <xdr:row>0</xdr:row>
      <xdr:rowOff>0</xdr:rowOff>
    </xdr:from>
    <xdr:to>
      <xdr:col>2</xdr:col>
      <xdr:colOff>1069081</xdr:colOff>
      <xdr:row>3</xdr:row>
      <xdr:rowOff>9360</xdr:rowOff>
    </xdr:to>
    <xdr:pic>
      <xdr:nvPicPr>
        <xdr:cNvPr id="1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20960A-7DA0-4E59-98A7-A5A429094C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8</xdr:row>
      <xdr:rowOff>15240</xdr:rowOff>
    </xdr:from>
    <xdr:to>
      <xdr:col>1</xdr:col>
      <xdr:colOff>432000</xdr:colOff>
      <xdr:row>8</xdr:row>
      <xdr:rowOff>281640</xdr:rowOff>
    </xdr:to>
    <xdr:sp macro="" textlink="">
      <xdr:nvSpPr>
        <xdr:cNvPr id="6" name="Seta: para a Direita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A25066-D06F-4121-BAA6-FFC413A3FB38}"/>
            </a:ext>
          </a:extLst>
        </xdr:cNvPr>
        <xdr:cNvSpPr/>
      </xdr:nvSpPr>
      <xdr:spPr>
        <a:xfrm flipH="1">
          <a:off x="121920" y="76962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1</xdr:col>
      <xdr:colOff>571500</xdr:colOff>
      <xdr:row>8</xdr:row>
      <xdr:rowOff>15240</xdr:rowOff>
    </xdr:from>
    <xdr:to>
      <xdr:col>2</xdr:col>
      <xdr:colOff>821460</xdr:colOff>
      <xdr:row>8</xdr:row>
      <xdr:rowOff>279800</xdr:rowOff>
    </xdr:to>
    <xdr:sp macro="" textlink="">
      <xdr:nvSpPr>
        <xdr:cNvPr id="7" name="CaixaDeText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578FC73-D0D0-424C-9C1B-0B28CF6F3107}"/>
            </a:ext>
          </a:extLst>
        </xdr:cNvPr>
        <xdr:cNvSpPr txBox="1"/>
      </xdr:nvSpPr>
      <xdr:spPr>
        <a:xfrm>
          <a:off x="693420" y="76962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  <a:r>
            <a:rPr lang="pt-BR" sz="1100" b="0" baseline="0">
              <a:solidFill>
                <a:schemeClr val="accent5">
                  <a:lumMod val="75000"/>
                </a:schemeClr>
              </a:solidFill>
            </a:rPr>
            <a:t> Geral</a:t>
          </a:r>
          <a:endParaRPr lang="pt-BR" sz="1100" b="0">
            <a:solidFill>
              <a:schemeClr val="accent5">
                <a:lumMod val="75000"/>
              </a:schemeClr>
            </a:solidFill>
          </a:endParaRPr>
        </a:p>
      </xdr:txBody>
    </xdr:sp>
    <xdr:clientData fPrintsWithSheet="0"/>
  </xdr:twoCellAnchor>
  <xdr:twoCellAnchor editAs="absolute">
    <xdr:from>
      <xdr:col>2</xdr:col>
      <xdr:colOff>876300</xdr:colOff>
      <xdr:row>8</xdr:row>
      <xdr:rowOff>15240</xdr:rowOff>
    </xdr:from>
    <xdr:to>
      <xdr:col>3</xdr:col>
      <xdr:colOff>783360</xdr:colOff>
      <xdr:row>8</xdr:row>
      <xdr:rowOff>279800</xdr:rowOff>
    </xdr:to>
    <xdr:sp macro="[0]!Imprimir" textlink="">
      <xdr:nvSpPr>
        <xdr:cNvPr id="8" name="CaixaDeTexto 7">
          <a:extLst>
            <a:ext uri="{FF2B5EF4-FFF2-40B4-BE49-F238E27FC236}">
              <a16:creationId xmlns:a16="http://schemas.microsoft.com/office/drawing/2014/main" id="{0B35D973-DA00-407D-BBE2-5B3CC955304A}"/>
            </a:ext>
          </a:extLst>
        </xdr:cNvPr>
        <xdr:cNvSpPr txBox="1"/>
      </xdr:nvSpPr>
      <xdr:spPr>
        <a:xfrm>
          <a:off x="2080260" y="76962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563880</xdr:colOff>
      <xdr:row>0</xdr:row>
      <xdr:rowOff>0</xdr:rowOff>
    </xdr:from>
    <xdr:ext cx="595122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955108C-9FBB-4586-AB8E-D9D0751601E6}"/>
            </a:ext>
          </a:extLst>
        </xdr:cNvPr>
        <xdr:cNvSpPr txBox="1"/>
      </xdr:nvSpPr>
      <xdr:spPr>
        <a:xfrm>
          <a:off x="2567940" y="0"/>
          <a:ext cx="59512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Conciliação Bancária</a:t>
          </a:r>
        </a:p>
      </xdr:txBody>
    </xdr:sp>
    <xdr:clientData/>
  </xdr:oneCellAnchor>
  <xdr:twoCellAnchor editAs="absolute">
    <xdr:from>
      <xdr:col>0</xdr:col>
      <xdr:colOff>327661</xdr:colOff>
      <xdr:row>0</xdr:row>
      <xdr:rowOff>0</xdr:rowOff>
    </xdr:from>
    <xdr:to>
      <xdr:col>3</xdr:col>
      <xdr:colOff>276602</xdr:colOff>
      <xdr:row>3</xdr:row>
      <xdr:rowOff>9360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1FCB2BD-D4FA-452E-B749-0C9076251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1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314587</xdr:colOff>
      <xdr:row>33</xdr:row>
      <xdr:rowOff>15240</xdr:rowOff>
    </xdr:from>
    <xdr:ext cx="884987" cy="264560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AC4D0253-E01D-46BA-9658-B6CC7C63A8B7}"/>
            </a:ext>
          </a:extLst>
        </xdr:cNvPr>
        <xdr:cNvSpPr txBox="1"/>
      </xdr:nvSpPr>
      <xdr:spPr>
        <a:xfrm>
          <a:off x="2143387" y="4792980"/>
          <a:ext cx="8849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100" b="1">
              <a:solidFill>
                <a:schemeClr val="bg1">
                  <a:lumMod val="50000"/>
                </a:schemeClr>
              </a:solidFill>
            </a:rPr>
            <a:t>Saldo</a:t>
          </a:r>
          <a:r>
            <a:rPr lang="pt-BR" sz="1100" b="1" baseline="0">
              <a:solidFill>
                <a:schemeClr val="bg1">
                  <a:lumMod val="50000"/>
                </a:schemeClr>
              </a:solidFill>
            </a:rPr>
            <a:t> Inicial</a:t>
          </a:r>
          <a:endParaRPr lang="pt-BR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oneCellAnchor>
  <xdr:oneCellAnchor>
    <xdr:from>
      <xdr:col>3</xdr:col>
      <xdr:colOff>294645</xdr:colOff>
      <xdr:row>25</xdr:row>
      <xdr:rowOff>160020</xdr:rowOff>
    </xdr:from>
    <xdr:ext cx="966804" cy="264560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11E9B60A-5C9F-402E-84E8-7CBE5EBAF339}"/>
            </a:ext>
          </a:extLst>
        </xdr:cNvPr>
        <xdr:cNvSpPr txBox="1"/>
      </xdr:nvSpPr>
      <xdr:spPr>
        <a:xfrm>
          <a:off x="2123445" y="3474720"/>
          <a:ext cx="9668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100" b="1">
              <a:solidFill>
                <a:srgbClr val="FF0000"/>
              </a:solidFill>
            </a:rPr>
            <a:t>Total Débitos</a:t>
          </a:r>
        </a:p>
      </xdr:txBody>
    </xdr:sp>
    <xdr:clientData/>
  </xdr:oneCellAnchor>
  <xdr:twoCellAnchor>
    <xdr:from>
      <xdr:col>6</xdr:col>
      <xdr:colOff>281940</xdr:colOff>
      <xdr:row>20</xdr:row>
      <xdr:rowOff>160020</xdr:rowOff>
    </xdr:from>
    <xdr:to>
      <xdr:col>10</xdr:col>
      <xdr:colOff>363540</xdr:colOff>
      <xdr:row>25</xdr:row>
      <xdr:rowOff>145620</xdr:rowOff>
    </xdr:to>
    <xdr:sp macro="" textlink="$O$22">
      <xdr:nvSpPr>
        <xdr:cNvPr id="22" name="CaixaDeTexto 21">
          <a:extLst>
            <a:ext uri="{FF2B5EF4-FFF2-40B4-BE49-F238E27FC236}">
              <a16:creationId xmlns:a16="http://schemas.microsoft.com/office/drawing/2014/main" id="{46CCE452-F8FB-4B7D-A6D5-F5908BF0E851}"/>
            </a:ext>
          </a:extLst>
        </xdr:cNvPr>
        <xdr:cNvSpPr txBox="1"/>
      </xdr:nvSpPr>
      <xdr:spPr>
        <a:xfrm>
          <a:off x="3939540" y="2560320"/>
          <a:ext cx="2520000" cy="900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18FA2B8-2235-4B6B-AE15-481D590CF5A7}" type="TxLink">
            <a:rPr lang="en-US" sz="3200" b="1" i="0" u="none" strike="noStrike">
              <a:solidFill>
                <a:srgbClr val="00B050"/>
              </a:solidFill>
              <a:latin typeface="Calibri"/>
              <a:cs typeface="Calibri"/>
            </a:rPr>
            <a:pPr algn="ctr"/>
            <a:t> R$1.000,00 </a:t>
          </a:fld>
          <a:endParaRPr lang="pt-BR" sz="3200" b="1">
            <a:solidFill>
              <a:srgbClr val="00B050"/>
            </a:solidFill>
          </a:endParaRPr>
        </a:p>
      </xdr:txBody>
    </xdr:sp>
    <xdr:clientData/>
  </xdr:twoCellAnchor>
  <xdr:oneCellAnchor>
    <xdr:from>
      <xdr:col>6</xdr:col>
      <xdr:colOff>259080</xdr:colOff>
      <xdr:row>25</xdr:row>
      <xdr:rowOff>160020</xdr:rowOff>
    </xdr:from>
    <xdr:ext cx="2514600" cy="264560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C293A656-041F-4708-BDF6-571830667E0F}"/>
            </a:ext>
          </a:extLst>
        </xdr:cNvPr>
        <xdr:cNvSpPr txBox="1"/>
      </xdr:nvSpPr>
      <xdr:spPr>
        <a:xfrm>
          <a:off x="3916680" y="3474720"/>
          <a:ext cx="25146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1">
              <a:solidFill>
                <a:srgbClr val="00B050"/>
              </a:solidFill>
            </a:rPr>
            <a:t>Total Créditos</a:t>
          </a:r>
        </a:p>
      </xdr:txBody>
    </xdr:sp>
    <xdr:clientData/>
  </xdr:oneCellAnchor>
  <xdr:twoCellAnchor>
    <xdr:from>
      <xdr:col>6</xdr:col>
      <xdr:colOff>281940</xdr:colOff>
      <xdr:row>28</xdr:row>
      <xdr:rowOff>38100</xdr:rowOff>
    </xdr:from>
    <xdr:to>
      <xdr:col>10</xdr:col>
      <xdr:colOff>363540</xdr:colOff>
      <xdr:row>33</xdr:row>
      <xdr:rowOff>23700</xdr:rowOff>
    </xdr:to>
    <xdr:sp macro="" textlink="CB!I49">
      <xdr:nvSpPr>
        <xdr:cNvPr id="26" name="CaixaDeTexto 25">
          <a:extLst>
            <a:ext uri="{FF2B5EF4-FFF2-40B4-BE49-F238E27FC236}">
              <a16:creationId xmlns:a16="http://schemas.microsoft.com/office/drawing/2014/main" id="{097735D6-1752-4563-B129-677D8D5F8EED}"/>
            </a:ext>
          </a:extLst>
        </xdr:cNvPr>
        <xdr:cNvSpPr txBox="1"/>
      </xdr:nvSpPr>
      <xdr:spPr>
        <a:xfrm>
          <a:off x="3939540" y="3901440"/>
          <a:ext cx="2520000" cy="900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AA64407-EDB1-4D9E-8A2F-BF6701263452}" type="TxLink">
            <a:rPr lang="en-US" sz="32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R$2.500,00</a:t>
          </a:fld>
          <a:endParaRPr lang="pt-BR" sz="32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oneCellAnchor>
    <xdr:from>
      <xdr:col>7</xdr:col>
      <xdr:colOff>160021</xdr:colOff>
      <xdr:row>33</xdr:row>
      <xdr:rowOff>15240</xdr:rowOff>
    </xdr:from>
    <xdr:ext cx="1569720" cy="264560"/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D9F141EC-C831-4886-B30D-6055063DBEDE}"/>
            </a:ext>
          </a:extLst>
        </xdr:cNvPr>
        <xdr:cNvSpPr txBox="1"/>
      </xdr:nvSpPr>
      <xdr:spPr>
        <a:xfrm>
          <a:off x="4427221" y="4792980"/>
          <a:ext cx="156972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1">
              <a:solidFill>
                <a:schemeClr val="accent5">
                  <a:lumMod val="50000"/>
                </a:schemeClr>
              </a:solidFill>
            </a:rPr>
            <a:t>Saldo Disponível</a:t>
          </a:r>
        </a:p>
      </xdr:txBody>
    </xdr:sp>
    <xdr:clientData/>
  </xdr:oneCellAnchor>
  <xdr:twoCellAnchor>
    <xdr:from>
      <xdr:col>2</xdr:col>
      <xdr:colOff>106680</xdr:colOff>
      <xdr:row>28</xdr:row>
      <xdr:rowOff>38100</xdr:rowOff>
    </xdr:from>
    <xdr:to>
      <xdr:col>6</xdr:col>
      <xdr:colOff>188280</xdr:colOff>
      <xdr:row>33</xdr:row>
      <xdr:rowOff>23700</xdr:rowOff>
    </xdr:to>
    <xdr:sp macro="" textlink="CB!I24">
      <xdr:nvSpPr>
        <xdr:cNvPr id="30" name="CaixaDeTexto 29">
          <a:extLst>
            <a:ext uri="{FF2B5EF4-FFF2-40B4-BE49-F238E27FC236}">
              <a16:creationId xmlns:a16="http://schemas.microsoft.com/office/drawing/2014/main" id="{B404E18C-8852-4E97-96E2-2FA8E54F9177}"/>
            </a:ext>
          </a:extLst>
        </xdr:cNvPr>
        <xdr:cNvSpPr txBox="1"/>
      </xdr:nvSpPr>
      <xdr:spPr>
        <a:xfrm>
          <a:off x="1325880" y="3901440"/>
          <a:ext cx="2520000" cy="900000"/>
        </a:xfrm>
        <a:prstGeom prst="rect">
          <a:avLst/>
        </a:prstGeom>
        <a:solidFill>
          <a:srgbClr val="E4F2F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D422F78-DD76-401D-A0D4-48EAF0A8B0BA}" type="TxLink">
            <a:rPr lang="en-US" sz="32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R$2.000,00</a:t>
          </a:fld>
          <a:endParaRPr lang="pt-BR" sz="32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106680</xdr:colOff>
      <xdr:row>20</xdr:row>
      <xdr:rowOff>160020</xdr:rowOff>
    </xdr:from>
    <xdr:to>
      <xdr:col>6</xdr:col>
      <xdr:colOff>188280</xdr:colOff>
      <xdr:row>25</xdr:row>
      <xdr:rowOff>145620</xdr:rowOff>
    </xdr:to>
    <xdr:sp macro="" textlink="$O$21">
      <xdr:nvSpPr>
        <xdr:cNvPr id="31" name="CaixaDeTexto 30">
          <a:extLst>
            <a:ext uri="{FF2B5EF4-FFF2-40B4-BE49-F238E27FC236}">
              <a16:creationId xmlns:a16="http://schemas.microsoft.com/office/drawing/2014/main" id="{393E8DC6-C29D-4491-A986-AA4BCB09FA91}"/>
            </a:ext>
          </a:extLst>
        </xdr:cNvPr>
        <xdr:cNvSpPr txBox="1"/>
      </xdr:nvSpPr>
      <xdr:spPr>
        <a:xfrm>
          <a:off x="1325880" y="2560320"/>
          <a:ext cx="2520000" cy="900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2FDE47A-43F3-4B86-BE9A-9575680FAACF}" type="TxLink">
            <a:rPr lang="en-US" sz="32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 R$500,00 </a:t>
          </a:fld>
          <a:endParaRPr lang="pt-BR" sz="3200" b="1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60960</xdr:colOff>
      <xdr:row>12</xdr:row>
      <xdr:rowOff>167640</xdr:rowOff>
    </xdr:from>
    <xdr:to>
      <xdr:col>20</xdr:col>
      <xdr:colOff>236220</xdr:colOff>
      <xdr:row>23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00B246C-66E0-4737-B674-EE37F55030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60960</xdr:colOff>
      <xdr:row>24</xdr:row>
      <xdr:rowOff>0</xdr:rowOff>
    </xdr:from>
    <xdr:to>
      <xdr:col>20</xdr:col>
      <xdr:colOff>236220</xdr:colOff>
      <xdr:row>34</xdr:row>
      <xdr:rowOff>15240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7D94A9E5-1D92-46DD-8415-3F2E274E8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76200</xdr:colOff>
      <xdr:row>8</xdr:row>
      <xdr:rowOff>15240</xdr:rowOff>
    </xdr:from>
    <xdr:to>
      <xdr:col>3</xdr:col>
      <xdr:colOff>13740</xdr:colOff>
      <xdr:row>9</xdr:row>
      <xdr:rowOff>96920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B7D6517-122D-4E49-A6A6-D6341D690D6C}"/>
            </a:ext>
          </a:extLst>
        </xdr:cNvPr>
        <xdr:cNvSpPr txBox="1"/>
      </xdr:nvSpPr>
      <xdr:spPr>
        <a:xfrm>
          <a:off x="685800" y="76962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 fPrintsWithSheet="0"/>
  </xdr:twoCellAnchor>
  <xdr:twoCellAnchor>
    <xdr:from>
      <xdr:col>0</xdr:col>
      <xdr:colOff>106680</xdr:colOff>
      <xdr:row>8</xdr:row>
      <xdr:rowOff>19050</xdr:rowOff>
    </xdr:from>
    <xdr:to>
      <xdr:col>0</xdr:col>
      <xdr:colOff>538680</xdr:colOff>
      <xdr:row>9</xdr:row>
      <xdr:rowOff>102570</xdr:rowOff>
    </xdr:to>
    <xdr:sp macro="" textlink="">
      <xdr:nvSpPr>
        <xdr:cNvPr id="18" name="Seta: para a Direita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C6D7927-C193-45AB-8C27-2FFB819B9FB6}"/>
            </a:ext>
          </a:extLst>
        </xdr:cNvPr>
        <xdr:cNvSpPr/>
      </xdr:nvSpPr>
      <xdr:spPr>
        <a:xfrm flipH="1">
          <a:off x="106680" y="77343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3</xdr:col>
      <xdr:colOff>76200</xdr:colOff>
      <xdr:row>8</xdr:row>
      <xdr:rowOff>15240</xdr:rowOff>
    </xdr:from>
    <xdr:to>
      <xdr:col>5</xdr:col>
      <xdr:colOff>189000</xdr:colOff>
      <xdr:row>9</xdr:row>
      <xdr:rowOff>96920</xdr:rowOff>
    </xdr:to>
    <xdr:sp macro="[0]!Imprimir" textlink="">
      <xdr:nvSpPr>
        <xdr:cNvPr id="19" name="CaixaDeTexto 18">
          <a:extLst>
            <a:ext uri="{FF2B5EF4-FFF2-40B4-BE49-F238E27FC236}">
              <a16:creationId xmlns:a16="http://schemas.microsoft.com/office/drawing/2014/main" id="{7EFF0E1F-2458-45D1-8480-2D0619E61F20}"/>
            </a:ext>
          </a:extLst>
        </xdr:cNvPr>
        <xdr:cNvSpPr txBox="1"/>
      </xdr:nvSpPr>
      <xdr:spPr>
        <a:xfrm>
          <a:off x="2080260" y="76962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678180</xdr:colOff>
      <xdr:row>71</xdr:row>
      <xdr:rowOff>30480</xdr:rowOff>
    </xdr:from>
    <xdr:to>
      <xdr:col>7</xdr:col>
      <xdr:colOff>647700</xdr:colOff>
      <xdr:row>79</xdr:row>
      <xdr:rowOff>76200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FDB7823C-B5BD-4EC3-9847-47A3D42DE0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6640" y="12748260"/>
          <a:ext cx="5448300" cy="1508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1569720</xdr:colOff>
      <xdr:row>12</xdr:row>
      <xdr:rowOff>30480</xdr:rowOff>
    </xdr:from>
    <xdr:to>
      <xdr:col>7</xdr:col>
      <xdr:colOff>2438400</xdr:colOff>
      <xdr:row>68</xdr:row>
      <xdr:rowOff>68580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B14AAF2E-90A3-453D-BB9B-3EC72311C9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1640" y="1508760"/>
          <a:ext cx="9144000" cy="10416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2453640</xdr:colOff>
      <xdr:row>0</xdr:row>
      <xdr:rowOff>0</xdr:rowOff>
    </xdr:from>
    <xdr:ext cx="495300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D916569-C4FF-4B2F-90FE-CE3EDFB441FB}"/>
            </a:ext>
          </a:extLst>
        </xdr:cNvPr>
        <xdr:cNvSpPr txBox="1"/>
      </xdr:nvSpPr>
      <xdr:spPr>
        <a:xfrm>
          <a:off x="2575560" y="0"/>
          <a:ext cx="495300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Conciliação Bancária</a:t>
          </a:r>
        </a:p>
      </xdr:txBody>
    </xdr:sp>
    <xdr:clientData/>
  </xdr:oneCellAnchor>
  <xdr:twoCellAnchor editAs="absolute">
    <xdr:from>
      <xdr:col>1</xdr:col>
      <xdr:colOff>213361</xdr:colOff>
      <xdr:row>0</xdr:row>
      <xdr:rowOff>0</xdr:rowOff>
    </xdr:from>
    <xdr:to>
      <xdr:col>1</xdr:col>
      <xdr:colOff>2164080</xdr:colOff>
      <xdr:row>3</xdr:row>
      <xdr:rowOff>9360</xdr:rowOff>
    </xdr:to>
    <xdr:pic>
      <xdr:nvPicPr>
        <xdr:cNvPr id="3" name="Imagem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16F75C-6C31-482E-9925-45395B983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1615440</xdr:colOff>
      <xdr:row>9</xdr:row>
      <xdr:rowOff>7620</xdr:rowOff>
    </xdr:from>
    <xdr:to>
      <xdr:col>7</xdr:col>
      <xdr:colOff>2491740</xdr:colOff>
      <xdr:row>9</xdr:row>
      <xdr:rowOff>295620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7463556B-BB46-4FC0-99C6-C5937773DC41}"/>
            </a:ext>
          </a:extLst>
        </xdr:cNvPr>
        <xdr:cNvSpPr txBox="1"/>
      </xdr:nvSpPr>
      <xdr:spPr>
        <a:xfrm>
          <a:off x="1737360" y="762000"/>
          <a:ext cx="9151620" cy="288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Instruções</a:t>
          </a:r>
        </a:p>
      </xdr:txBody>
    </xdr:sp>
    <xdr:clientData/>
  </xdr:twoCellAnchor>
  <xdr:twoCellAnchor>
    <xdr:from>
      <xdr:col>4</xdr:col>
      <xdr:colOff>2758440</xdr:colOff>
      <xdr:row>75</xdr:row>
      <xdr:rowOff>160020</xdr:rowOff>
    </xdr:from>
    <xdr:to>
      <xdr:col>7</xdr:col>
      <xdr:colOff>1135380</xdr:colOff>
      <xdr:row>76</xdr:row>
      <xdr:rowOff>49530</xdr:rowOff>
    </xdr:to>
    <xdr:cxnSp macro="">
      <xdr:nvCxnSpPr>
        <xdr:cNvPr id="49" name="Conector de Seta Reta 48">
          <a:extLst>
            <a:ext uri="{FF2B5EF4-FFF2-40B4-BE49-F238E27FC236}">
              <a16:creationId xmlns:a16="http://schemas.microsoft.com/office/drawing/2014/main" id="{1D48147F-766E-4496-A250-0DE7022717B9}"/>
            </a:ext>
          </a:extLst>
        </xdr:cNvPr>
        <xdr:cNvCxnSpPr>
          <a:cxnSpLocks/>
          <a:stCxn id="50" idx="1"/>
        </xdr:cNvCxnSpPr>
      </xdr:nvCxnSpPr>
      <xdr:spPr>
        <a:xfrm flipH="1" flipV="1">
          <a:off x="7018020" y="13609320"/>
          <a:ext cx="2514600" cy="7239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1135380</xdr:colOff>
      <xdr:row>73</xdr:row>
      <xdr:rowOff>38100</xdr:rowOff>
    </xdr:from>
    <xdr:to>
      <xdr:col>7</xdr:col>
      <xdr:colOff>3352800</xdr:colOff>
      <xdr:row>79</xdr:row>
      <xdr:rowOff>60960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9881C4F0-DD00-47E8-BA3F-B1B34B405200}"/>
            </a:ext>
          </a:extLst>
        </xdr:cNvPr>
        <xdr:cNvSpPr/>
      </xdr:nvSpPr>
      <xdr:spPr>
        <a:xfrm>
          <a:off x="9532620" y="13121640"/>
          <a:ext cx="2217420" cy="1120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no botão Imprimir para visualizar a Impressão e Imprimir</a:t>
          </a:r>
          <a:r>
            <a:rPr lang="pt-BR" sz="1100" baseline="0">
              <a:solidFill>
                <a:schemeClr val="accent2"/>
              </a:solidFill>
            </a:rPr>
            <a:t> a Conciliação Bancária.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1127760</xdr:colOff>
      <xdr:row>76</xdr:row>
      <xdr:rowOff>83820</xdr:rowOff>
    </xdr:from>
    <xdr:to>
      <xdr:col>4</xdr:col>
      <xdr:colOff>2141220</xdr:colOff>
      <xdr:row>80</xdr:row>
      <xdr:rowOff>80010</xdr:rowOff>
    </xdr:to>
    <xdr:cxnSp macro="">
      <xdr:nvCxnSpPr>
        <xdr:cNvPr id="87" name="Conector de Seta Reta 86">
          <a:extLst>
            <a:ext uri="{FF2B5EF4-FFF2-40B4-BE49-F238E27FC236}">
              <a16:creationId xmlns:a16="http://schemas.microsoft.com/office/drawing/2014/main" id="{924AFBC8-CD12-403E-A7CB-BF2493514B29}"/>
            </a:ext>
          </a:extLst>
        </xdr:cNvPr>
        <xdr:cNvCxnSpPr>
          <a:cxnSpLocks/>
          <a:stCxn id="88" idx="1"/>
        </xdr:cNvCxnSpPr>
      </xdr:nvCxnSpPr>
      <xdr:spPr>
        <a:xfrm flipH="1" flipV="1">
          <a:off x="5387340" y="13716000"/>
          <a:ext cx="1013460" cy="72771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2141220</xdr:colOff>
      <xdr:row>77</xdr:row>
      <xdr:rowOff>68580</xdr:rowOff>
    </xdr:from>
    <xdr:to>
      <xdr:col>7</xdr:col>
      <xdr:colOff>220980</xdr:colOff>
      <xdr:row>83</xdr:row>
      <xdr:rowOff>91440</xdr:rowOff>
    </xdr:to>
    <xdr:sp macro="" textlink="">
      <xdr:nvSpPr>
        <xdr:cNvPr id="88" name="Retângulo 87">
          <a:extLst>
            <a:ext uri="{FF2B5EF4-FFF2-40B4-BE49-F238E27FC236}">
              <a16:creationId xmlns:a16="http://schemas.microsoft.com/office/drawing/2014/main" id="{AD35F872-EF1E-4C51-81D9-89A70895A9FE}"/>
            </a:ext>
          </a:extLst>
        </xdr:cNvPr>
        <xdr:cNvSpPr/>
      </xdr:nvSpPr>
      <xdr:spPr>
        <a:xfrm>
          <a:off x="6400800" y="13883640"/>
          <a:ext cx="2217420" cy="1120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Clique no botão Relatório Geral para acessar os dados resumidos.</a:t>
          </a:r>
          <a:endParaRPr lang="pt-BR">
            <a:solidFill>
              <a:schemeClr val="accent2"/>
            </a:solidFill>
            <a:effectLst/>
          </a:endParaRPr>
        </a:p>
      </xdr:txBody>
    </xdr:sp>
    <xdr:clientData/>
  </xdr:twoCellAnchor>
  <xdr:twoCellAnchor>
    <xdr:from>
      <xdr:col>1</xdr:col>
      <xdr:colOff>723900</xdr:colOff>
      <xdr:row>14</xdr:row>
      <xdr:rowOff>22860</xdr:rowOff>
    </xdr:from>
    <xdr:to>
      <xdr:col>1</xdr:col>
      <xdr:colOff>1485900</xdr:colOff>
      <xdr:row>15</xdr:row>
      <xdr:rowOff>106680</xdr:rowOff>
    </xdr:to>
    <xdr:cxnSp macro="">
      <xdr:nvCxnSpPr>
        <xdr:cNvPr id="53" name="Conector de Seta Reta 52">
          <a:extLst>
            <a:ext uri="{FF2B5EF4-FFF2-40B4-BE49-F238E27FC236}">
              <a16:creationId xmlns:a16="http://schemas.microsoft.com/office/drawing/2014/main" id="{E1B9D016-1DDA-4C95-BB6F-110B3FE172C8}"/>
            </a:ext>
          </a:extLst>
        </xdr:cNvPr>
        <xdr:cNvCxnSpPr>
          <a:stCxn id="54" idx="0"/>
        </xdr:cNvCxnSpPr>
      </xdr:nvCxnSpPr>
      <xdr:spPr>
        <a:xfrm flipV="1">
          <a:off x="845820" y="1866900"/>
          <a:ext cx="762000" cy="2667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106680</xdr:colOff>
      <xdr:row>15</xdr:row>
      <xdr:rowOff>106680</xdr:rowOff>
    </xdr:from>
    <xdr:to>
      <xdr:col>1</xdr:col>
      <xdr:colOff>1463040</xdr:colOff>
      <xdr:row>21</xdr:row>
      <xdr:rowOff>53340</xdr:rowOff>
    </xdr:to>
    <xdr:sp macro="" textlink="">
      <xdr:nvSpPr>
        <xdr:cNvPr id="54" name="Retângulo 53">
          <a:extLst>
            <a:ext uri="{FF2B5EF4-FFF2-40B4-BE49-F238E27FC236}">
              <a16:creationId xmlns:a16="http://schemas.microsoft.com/office/drawing/2014/main" id="{B1EFBB18-E161-4720-8808-A71752469955}"/>
            </a:ext>
          </a:extLst>
        </xdr:cNvPr>
        <xdr:cNvSpPr/>
      </xdr:nvSpPr>
      <xdr:spPr>
        <a:xfrm>
          <a:off x="106680" y="2133600"/>
          <a:ext cx="1478280" cy="10439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o nome do responsável pela conferência.</a:t>
          </a:r>
        </a:p>
      </xdr:txBody>
    </xdr:sp>
    <xdr:clientData/>
  </xdr:twoCellAnchor>
  <xdr:twoCellAnchor>
    <xdr:from>
      <xdr:col>2</xdr:col>
      <xdr:colOff>1082040</xdr:colOff>
      <xdr:row>14</xdr:row>
      <xdr:rowOff>106680</xdr:rowOff>
    </xdr:from>
    <xdr:to>
      <xdr:col>2</xdr:col>
      <xdr:colOff>1082040</xdr:colOff>
      <xdr:row>16</xdr:row>
      <xdr:rowOff>15240</xdr:rowOff>
    </xdr:to>
    <xdr:cxnSp macro="">
      <xdr:nvCxnSpPr>
        <xdr:cNvPr id="58" name="Conector de Seta Reta 57">
          <a:extLst>
            <a:ext uri="{FF2B5EF4-FFF2-40B4-BE49-F238E27FC236}">
              <a16:creationId xmlns:a16="http://schemas.microsoft.com/office/drawing/2014/main" id="{3771C90C-15B1-4265-91D0-17E58CF98AE2}"/>
            </a:ext>
          </a:extLst>
        </xdr:cNvPr>
        <xdr:cNvCxnSpPr/>
      </xdr:nvCxnSpPr>
      <xdr:spPr>
        <a:xfrm>
          <a:off x="4000500" y="1950720"/>
          <a:ext cx="0" cy="2743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1074420</xdr:colOff>
      <xdr:row>14</xdr:row>
      <xdr:rowOff>91440</xdr:rowOff>
    </xdr:from>
    <xdr:to>
      <xdr:col>7</xdr:col>
      <xdr:colOff>2971800</xdr:colOff>
      <xdr:row>14</xdr:row>
      <xdr:rowOff>99060</xdr:rowOff>
    </xdr:to>
    <xdr:cxnSp macro="">
      <xdr:nvCxnSpPr>
        <xdr:cNvPr id="60" name="Conector de Seta Reta 59">
          <a:extLst>
            <a:ext uri="{FF2B5EF4-FFF2-40B4-BE49-F238E27FC236}">
              <a16:creationId xmlns:a16="http://schemas.microsoft.com/office/drawing/2014/main" id="{B389F299-5D47-4FBD-8CFF-110F814DF3F4}"/>
            </a:ext>
          </a:extLst>
        </xdr:cNvPr>
        <xdr:cNvCxnSpPr/>
      </xdr:nvCxnSpPr>
      <xdr:spPr>
        <a:xfrm flipH="1">
          <a:off x="3992880" y="1935480"/>
          <a:ext cx="7376160" cy="7620"/>
        </a:xfrm>
        <a:prstGeom prst="straightConnector1">
          <a:avLst/>
        </a:prstGeom>
        <a:ln w="12700">
          <a:solidFill>
            <a:schemeClr val="accent2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2933700</xdr:colOff>
      <xdr:row>14</xdr:row>
      <xdr:rowOff>15240</xdr:rowOff>
    </xdr:from>
    <xdr:to>
      <xdr:col>8</xdr:col>
      <xdr:colOff>1485900</xdr:colOff>
      <xdr:row>17</xdr:row>
      <xdr:rowOff>76200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C1045742-AEE9-44D7-BC89-30FED8C3D141}"/>
            </a:ext>
          </a:extLst>
        </xdr:cNvPr>
        <xdr:cNvSpPr/>
      </xdr:nvSpPr>
      <xdr:spPr>
        <a:xfrm>
          <a:off x="11330940" y="1859280"/>
          <a:ext cx="2141220" cy="6096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se o tipo de prestação de contas é parcial ou total.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2049780</xdr:colOff>
      <xdr:row>16</xdr:row>
      <xdr:rowOff>53340</xdr:rowOff>
    </xdr:from>
    <xdr:to>
      <xdr:col>4</xdr:col>
      <xdr:colOff>1485900</xdr:colOff>
      <xdr:row>18</xdr:row>
      <xdr:rowOff>91440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A77D80AF-891F-4DD1-BB1E-C8BEA400F2CF}"/>
            </a:ext>
          </a:extLst>
        </xdr:cNvPr>
        <xdr:cNvSpPr/>
      </xdr:nvSpPr>
      <xdr:spPr>
        <a:xfrm>
          <a:off x="2171700" y="2263140"/>
          <a:ext cx="3573780" cy="40386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152400</xdr:colOff>
      <xdr:row>16</xdr:row>
      <xdr:rowOff>99060</xdr:rowOff>
    </xdr:from>
    <xdr:to>
      <xdr:col>7</xdr:col>
      <xdr:colOff>2567940</xdr:colOff>
      <xdr:row>18</xdr:row>
      <xdr:rowOff>137160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2A62F486-8A90-46D6-920A-9CC227D74CB5}"/>
            </a:ext>
          </a:extLst>
        </xdr:cNvPr>
        <xdr:cNvSpPr/>
      </xdr:nvSpPr>
      <xdr:spPr>
        <a:xfrm>
          <a:off x="7208520" y="2308860"/>
          <a:ext cx="3756660" cy="40386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3017520</xdr:colOff>
      <xdr:row>18</xdr:row>
      <xdr:rowOff>99060</xdr:rowOff>
    </xdr:from>
    <xdr:to>
      <xdr:col>8</xdr:col>
      <xdr:colOff>1082040</xdr:colOff>
      <xdr:row>20</xdr:row>
      <xdr:rowOff>38100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7180CA20-AC0E-4DB8-BC77-45DFF65139E9}"/>
            </a:ext>
          </a:extLst>
        </xdr:cNvPr>
        <xdr:cNvSpPr/>
      </xdr:nvSpPr>
      <xdr:spPr>
        <a:xfrm>
          <a:off x="11414760" y="2674620"/>
          <a:ext cx="1653540" cy="3048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o período. </a:t>
          </a:r>
        </a:p>
      </xdr:txBody>
    </xdr:sp>
    <xdr:clientData/>
  </xdr:twoCellAnchor>
  <xdr:twoCellAnchor>
    <xdr:from>
      <xdr:col>7</xdr:col>
      <xdr:colOff>2567940</xdr:colOff>
      <xdr:row>17</xdr:row>
      <xdr:rowOff>118110</xdr:rowOff>
    </xdr:from>
    <xdr:to>
      <xdr:col>8</xdr:col>
      <xdr:colOff>255270</xdr:colOff>
      <xdr:row>18</xdr:row>
      <xdr:rowOff>99060</xdr:rowOff>
    </xdr:to>
    <xdr:cxnSp macro="">
      <xdr:nvCxnSpPr>
        <xdr:cNvPr id="66" name="Conector de Seta Reta 65">
          <a:extLst>
            <a:ext uri="{FF2B5EF4-FFF2-40B4-BE49-F238E27FC236}">
              <a16:creationId xmlns:a16="http://schemas.microsoft.com/office/drawing/2014/main" id="{5266CCCE-B075-4631-A563-69718885F4A7}"/>
            </a:ext>
          </a:extLst>
        </xdr:cNvPr>
        <xdr:cNvCxnSpPr>
          <a:stCxn id="65" idx="0"/>
          <a:endCxn id="64" idx="3"/>
        </xdr:cNvCxnSpPr>
      </xdr:nvCxnSpPr>
      <xdr:spPr>
        <a:xfrm flipH="1" flipV="1">
          <a:off x="10965180" y="2510790"/>
          <a:ext cx="1276350" cy="16383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2910840</xdr:colOff>
      <xdr:row>21</xdr:row>
      <xdr:rowOff>7620</xdr:rowOff>
    </xdr:from>
    <xdr:to>
      <xdr:col>8</xdr:col>
      <xdr:colOff>990600</xdr:colOff>
      <xdr:row>24</xdr:row>
      <xdr:rowOff>0</xdr:rowOff>
    </xdr:to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8FF515DB-2359-4B78-9130-2B51174355F4}"/>
            </a:ext>
          </a:extLst>
        </xdr:cNvPr>
        <xdr:cNvSpPr/>
      </xdr:nvSpPr>
      <xdr:spPr>
        <a:xfrm>
          <a:off x="11308080" y="3131820"/>
          <a:ext cx="1668780" cy="5410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os dados bancários.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2171700</xdr:colOff>
      <xdr:row>21</xdr:row>
      <xdr:rowOff>7620</xdr:rowOff>
    </xdr:from>
    <xdr:to>
      <xdr:col>8</xdr:col>
      <xdr:colOff>156210</xdr:colOff>
      <xdr:row>21</xdr:row>
      <xdr:rowOff>7620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498F8257-9695-4B20-9A31-41D6BC9C98DB}"/>
            </a:ext>
          </a:extLst>
        </xdr:cNvPr>
        <xdr:cNvCxnSpPr>
          <a:stCxn id="70" idx="0"/>
        </xdr:cNvCxnSpPr>
      </xdr:nvCxnSpPr>
      <xdr:spPr>
        <a:xfrm flipH="1">
          <a:off x="2293620" y="3131820"/>
          <a:ext cx="9848850" cy="0"/>
        </a:xfrm>
        <a:prstGeom prst="straightConnector1">
          <a:avLst/>
        </a:prstGeom>
        <a:ln w="12700">
          <a:solidFill>
            <a:schemeClr val="accent2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2171700</xdr:colOff>
      <xdr:row>19</xdr:row>
      <xdr:rowOff>60960</xdr:rowOff>
    </xdr:from>
    <xdr:to>
      <xdr:col>1</xdr:col>
      <xdr:colOff>2171700</xdr:colOff>
      <xdr:row>21</xdr:row>
      <xdr:rowOff>22860</xdr:rowOff>
    </xdr:to>
    <xdr:cxnSp macro="">
      <xdr:nvCxnSpPr>
        <xdr:cNvPr id="72" name="Conector de Seta Reta 71">
          <a:extLst>
            <a:ext uri="{FF2B5EF4-FFF2-40B4-BE49-F238E27FC236}">
              <a16:creationId xmlns:a16="http://schemas.microsoft.com/office/drawing/2014/main" id="{0B51960F-90C7-4B86-9454-48E87274ACE0}"/>
            </a:ext>
          </a:extLst>
        </xdr:cNvPr>
        <xdr:cNvCxnSpPr/>
      </xdr:nvCxnSpPr>
      <xdr:spPr>
        <a:xfrm flipV="1">
          <a:off x="2293620" y="2819400"/>
          <a:ext cx="0" cy="3276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434340</xdr:colOff>
      <xdr:row>19</xdr:row>
      <xdr:rowOff>60960</xdr:rowOff>
    </xdr:from>
    <xdr:to>
      <xdr:col>4</xdr:col>
      <xdr:colOff>434340</xdr:colOff>
      <xdr:row>21</xdr:row>
      <xdr:rowOff>22860</xdr:rowOff>
    </xdr:to>
    <xdr:cxnSp macro="">
      <xdr:nvCxnSpPr>
        <xdr:cNvPr id="73" name="Conector de Seta Reta 72">
          <a:extLst>
            <a:ext uri="{FF2B5EF4-FFF2-40B4-BE49-F238E27FC236}">
              <a16:creationId xmlns:a16="http://schemas.microsoft.com/office/drawing/2014/main" id="{8E8D3584-4708-4BE6-AC79-1282CC2AF7A8}"/>
            </a:ext>
          </a:extLst>
        </xdr:cNvPr>
        <xdr:cNvCxnSpPr/>
      </xdr:nvCxnSpPr>
      <xdr:spPr>
        <a:xfrm flipV="1">
          <a:off x="4693920" y="2819400"/>
          <a:ext cx="0" cy="3276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2545080</xdr:colOff>
      <xdr:row>19</xdr:row>
      <xdr:rowOff>60960</xdr:rowOff>
    </xdr:from>
    <xdr:to>
      <xdr:col>4</xdr:col>
      <xdr:colOff>2545080</xdr:colOff>
      <xdr:row>21</xdr:row>
      <xdr:rowOff>22860</xdr:rowOff>
    </xdr:to>
    <xdr:cxnSp macro="">
      <xdr:nvCxnSpPr>
        <xdr:cNvPr id="77" name="Conector de Seta Reta 76">
          <a:extLst>
            <a:ext uri="{FF2B5EF4-FFF2-40B4-BE49-F238E27FC236}">
              <a16:creationId xmlns:a16="http://schemas.microsoft.com/office/drawing/2014/main" id="{CA1670AD-21AA-4C31-A399-DC28189BAA21}"/>
            </a:ext>
          </a:extLst>
        </xdr:cNvPr>
        <xdr:cNvCxnSpPr/>
      </xdr:nvCxnSpPr>
      <xdr:spPr>
        <a:xfrm flipV="1">
          <a:off x="6804660" y="2819400"/>
          <a:ext cx="0" cy="3276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3497580</xdr:colOff>
      <xdr:row>27</xdr:row>
      <xdr:rowOff>3810</xdr:rowOff>
    </xdr:from>
    <xdr:to>
      <xdr:col>8</xdr:col>
      <xdr:colOff>1623060</xdr:colOff>
      <xdr:row>30</xdr:row>
      <xdr:rowOff>160020</xdr:rowOff>
    </xdr:to>
    <xdr:sp macro="" textlink="">
      <xdr:nvSpPr>
        <xdr:cNvPr id="78" name="Retângulo 77">
          <a:extLst>
            <a:ext uri="{FF2B5EF4-FFF2-40B4-BE49-F238E27FC236}">
              <a16:creationId xmlns:a16="http://schemas.microsoft.com/office/drawing/2014/main" id="{D96F4A20-E61E-4A3D-A4D8-81CE2681AF5B}"/>
            </a:ext>
          </a:extLst>
        </xdr:cNvPr>
        <xdr:cNvSpPr/>
      </xdr:nvSpPr>
      <xdr:spPr>
        <a:xfrm>
          <a:off x="11894820" y="4225290"/>
          <a:ext cx="1714500" cy="7048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o saldo</a:t>
          </a:r>
          <a:r>
            <a:rPr lang="pt-BR" sz="1100" baseline="0">
              <a:solidFill>
                <a:schemeClr val="accent2"/>
              </a:solidFill>
            </a:rPr>
            <a:t> inicial no período informado.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2179320</xdr:colOff>
      <xdr:row>24</xdr:row>
      <xdr:rowOff>114300</xdr:rowOff>
    </xdr:from>
    <xdr:to>
      <xdr:col>8</xdr:col>
      <xdr:colOff>765810</xdr:colOff>
      <xdr:row>27</xdr:row>
      <xdr:rowOff>3810</xdr:rowOff>
    </xdr:to>
    <xdr:cxnSp macro="">
      <xdr:nvCxnSpPr>
        <xdr:cNvPr id="79" name="Conector de Seta Reta 78">
          <a:extLst>
            <a:ext uri="{FF2B5EF4-FFF2-40B4-BE49-F238E27FC236}">
              <a16:creationId xmlns:a16="http://schemas.microsoft.com/office/drawing/2014/main" id="{023504CB-1694-4C68-B209-D37E6E5E597F}"/>
            </a:ext>
          </a:extLst>
        </xdr:cNvPr>
        <xdr:cNvCxnSpPr>
          <a:stCxn id="78" idx="0"/>
        </xdr:cNvCxnSpPr>
      </xdr:nvCxnSpPr>
      <xdr:spPr>
        <a:xfrm flipH="1" flipV="1">
          <a:off x="10576560" y="3787140"/>
          <a:ext cx="2175510" cy="43815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1508760</xdr:colOff>
      <xdr:row>24</xdr:row>
      <xdr:rowOff>175260</xdr:rowOff>
    </xdr:from>
    <xdr:to>
      <xdr:col>7</xdr:col>
      <xdr:colOff>739140</xdr:colOff>
      <xdr:row>33</xdr:row>
      <xdr:rowOff>83820</xdr:rowOff>
    </xdr:to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id="{D73479C0-C8F9-48D5-A79B-A63AF633B736}"/>
            </a:ext>
          </a:extLst>
        </xdr:cNvPr>
        <xdr:cNvSpPr/>
      </xdr:nvSpPr>
      <xdr:spPr>
        <a:xfrm>
          <a:off x="1630680" y="3848100"/>
          <a:ext cx="7505700" cy="15544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2727960</xdr:colOff>
      <xdr:row>32</xdr:row>
      <xdr:rowOff>95250</xdr:rowOff>
    </xdr:from>
    <xdr:to>
      <xdr:col>8</xdr:col>
      <xdr:colOff>1280160</xdr:colOff>
      <xdr:row>36</xdr:row>
      <xdr:rowOff>45720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E12E0CF5-7D13-42FC-9B8F-0B3740263A41}"/>
            </a:ext>
          </a:extLst>
        </xdr:cNvPr>
        <xdr:cNvSpPr/>
      </xdr:nvSpPr>
      <xdr:spPr>
        <a:xfrm>
          <a:off x="11125200" y="5231130"/>
          <a:ext cx="2141220" cy="72771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os lançamentos das movimentações bancárias.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739140</xdr:colOff>
      <xdr:row>29</xdr:row>
      <xdr:rowOff>38100</xdr:rowOff>
    </xdr:from>
    <xdr:to>
      <xdr:col>8</xdr:col>
      <xdr:colOff>209550</xdr:colOff>
      <xdr:row>32</xdr:row>
      <xdr:rowOff>95250</xdr:rowOff>
    </xdr:to>
    <xdr:cxnSp macro="">
      <xdr:nvCxnSpPr>
        <xdr:cNvPr id="96" name="Conector de Seta Reta 95">
          <a:extLst>
            <a:ext uri="{FF2B5EF4-FFF2-40B4-BE49-F238E27FC236}">
              <a16:creationId xmlns:a16="http://schemas.microsoft.com/office/drawing/2014/main" id="{8598F92C-D12C-4CF1-959F-3F1F8312BA9F}"/>
            </a:ext>
          </a:extLst>
        </xdr:cNvPr>
        <xdr:cNvCxnSpPr>
          <a:stCxn id="95" idx="0"/>
          <a:endCxn id="80" idx="3"/>
        </xdr:cNvCxnSpPr>
      </xdr:nvCxnSpPr>
      <xdr:spPr>
        <a:xfrm flipH="1" flipV="1">
          <a:off x="9136380" y="4625340"/>
          <a:ext cx="3059430" cy="60579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2712720</xdr:colOff>
      <xdr:row>44</xdr:row>
      <xdr:rowOff>179070</xdr:rowOff>
    </xdr:from>
    <xdr:to>
      <xdr:col>8</xdr:col>
      <xdr:colOff>1287780</xdr:colOff>
      <xdr:row>49</xdr:row>
      <xdr:rowOff>15240</xdr:rowOff>
    </xdr:to>
    <xdr:sp macro="" textlink="">
      <xdr:nvSpPr>
        <xdr:cNvPr id="97" name="Retângulo 96">
          <a:extLst>
            <a:ext uri="{FF2B5EF4-FFF2-40B4-BE49-F238E27FC236}">
              <a16:creationId xmlns:a16="http://schemas.microsoft.com/office/drawing/2014/main" id="{40864AEC-B3CD-401A-B0EA-6EF07725102F}"/>
            </a:ext>
          </a:extLst>
        </xdr:cNvPr>
        <xdr:cNvSpPr/>
      </xdr:nvSpPr>
      <xdr:spPr>
        <a:xfrm>
          <a:off x="11109960" y="7616190"/>
          <a:ext cx="2164080" cy="7810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Veja o saldo</a:t>
          </a:r>
          <a:r>
            <a:rPr lang="pt-BR" sz="1100" baseline="0">
              <a:solidFill>
                <a:schemeClr val="accent2"/>
              </a:solidFill>
            </a:rPr>
            <a:t> final disponível.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2247900</xdr:colOff>
      <xdr:row>43</xdr:row>
      <xdr:rowOff>53340</xdr:rowOff>
    </xdr:from>
    <xdr:to>
      <xdr:col>8</xdr:col>
      <xdr:colOff>205740</xdr:colOff>
      <xdr:row>44</xdr:row>
      <xdr:rowOff>179070</xdr:rowOff>
    </xdr:to>
    <xdr:cxnSp macro="">
      <xdr:nvCxnSpPr>
        <xdr:cNvPr id="105" name="Conector de Seta Reta 104">
          <a:extLst>
            <a:ext uri="{FF2B5EF4-FFF2-40B4-BE49-F238E27FC236}">
              <a16:creationId xmlns:a16="http://schemas.microsoft.com/office/drawing/2014/main" id="{11A634A5-8ED0-409C-A7C4-E25414FB4001}"/>
            </a:ext>
          </a:extLst>
        </xdr:cNvPr>
        <xdr:cNvCxnSpPr>
          <a:stCxn id="97" idx="0"/>
        </xdr:cNvCxnSpPr>
      </xdr:nvCxnSpPr>
      <xdr:spPr>
        <a:xfrm flipH="1" flipV="1">
          <a:off x="10645140" y="7299960"/>
          <a:ext cx="1546860" cy="31623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266700</xdr:colOff>
      <xdr:row>11</xdr:row>
      <xdr:rowOff>152400</xdr:rowOff>
    </xdr:from>
    <xdr:to>
      <xdr:col>7</xdr:col>
      <xdr:colOff>2552700</xdr:colOff>
      <xdr:row>13</xdr:row>
      <xdr:rowOff>175260</xdr:rowOff>
    </xdr:to>
    <xdr:cxnSp macro="">
      <xdr:nvCxnSpPr>
        <xdr:cNvPr id="127" name="Conector de Seta Reta 126">
          <a:extLst>
            <a:ext uri="{FF2B5EF4-FFF2-40B4-BE49-F238E27FC236}">
              <a16:creationId xmlns:a16="http://schemas.microsoft.com/office/drawing/2014/main" id="{DB6660EC-6F63-42ED-B6C8-9ADC4FA4276E}"/>
            </a:ext>
          </a:extLst>
        </xdr:cNvPr>
        <xdr:cNvCxnSpPr>
          <a:stCxn id="128" idx="1"/>
        </xdr:cNvCxnSpPr>
      </xdr:nvCxnSpPr>
      <xdr:spPr>
        <a:xfrm flipH="1">
          <a:off x="8663940" y="1447800"/>
          <a:ext cx="2286000" cy="3886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2552700</xdr:colOff>
      <xdr:row>10</xdr:row>
      <xdr:rowOff>91440</xdr:rowOff>
    </xdr:from>
    <xdr:to>
      <xdr:col>8</xdr:col>
      <xdr:colOff>1181100</xdr:colOff>
      <xdr:row>13</xdr:row>
      <xdr:rowOff>76200</xdr:rowOff>
    </xdr:to>
    <xdr:sp macro="" textlink="">
      <xdr:nvSpPr>
        <xdr:cNvPr id="128" name="Retângulo 127">
          <a:extLst>
            <a:ext uri="{FF2B5EF4-FFF2-40B4-BE49-F238E27FC236}">
              <a16:creationId xmlns:a16="http://schemas.microsoft.com/office/drawing/2014/main" id="{0A06EE5A-DB18-49B6-A8A4-CE50D21904C7}"/>
            </a:ext>
          </a:extLst>
        </xdr:cNvPr>
        <xdr:cNvSpPr/>
      </xdr:nvSpPr>
      <xdr:spPr>
        <a:xfrm>
          <a:off x="10949940" y="1158240"/>
          <a:ext cx="2217420" cy="5791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a data da conferência.</a:t>
          </a:r>
        </a:p>
      </xdr:txBody>
    </xdr:sp>
    <xdr:clientData/>
  </xdr:twoCellAnchor>
  <xdr:twoCellAnchor editAs="absolute">
    <xdr:from>
      <xdr:col>1</xdr:col>
      <xdr:colOff>586740</xdr:colOff>
      <xdr:row>8</xdr:row>
      <xdr:rowOff>15240</xdr:rowOff>
    </xdr:from>
    <xdr:to>
      <xdr:col>1</xdr:col>
      <xdr:colOff>1918740</xdr:colOff>
      <xdr:row>8</xdr:row>
      <xdr:rowOff>279800</xdr:rowOff>
    </xdr:to>
    <xdr:sp macro="" textlink="">
      <xdr:nvSpPr>
        <xdr:cNvPr id="37" name="CaixaDeTexto 3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EBA36B1-5F32-4646-937C-7C787928D79B}"/>
            </a:ext>
          </a:extLst>
        </xdr:cNvPr>
        <xdr:cNvSpPr txBox="1"/>
      </xdr:nvSpPr>
      <xdr:spPr>
        <a:xfrm>
          <a:off x="708660" y="76962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twoCellAnchor>
    <xdr:from>
      <xdr:col>1</xdr:col>
      <xdr:colOff>7620</xdr:colOff>
      <xdr:row>8</xdr:row>
      <xdr:rowOff>26670</xdr:rowOff>
    </xdr:from>
    <xdr:to>
      <xdr:col>1</xdr:col>
      <xdr:colOff>439620</xdr:colOff>
      <xdr:row>8</xdr:row>
      <xdr:rowOff>293070</xdr:rowOff>
    </xdr:to>
    <xdr:sp macro="" textlink="">
      <xdr:nvSpPr>
        <xdr:cNvPr id="38" name="Seta: para a Direita 3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9DF04C9-6034-44D8-805B-3863493DFC81}"/>
            </a:ext>
          </a:extLst>
        </xdr:cNvPr>
        <xdr:cNvSpPr/>
      </xdr:nvSpPr>
      <xdr:spPr>
        <a:xfrm flipH="1">
          <a:off x="129540" y="78105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746760</xdr:colOff>
      <xdr:row>88</xdr:row>
      <xdr:rowOff>0</xdr:rowOff>
    </xdr:from>
    <xdr:to>
      <xdr:col>8</xdr:col>
      <xdr:colOff>1082040</xdr:colOff>
      <xdr:row>110</xdr:row>
      <xdr:rowOff>7620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ECD07BA-B6AF-46D8-9C34-3B8D0BC32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" y="15826740"/>
          <a:ext cx="12199620" cy="4030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1977390</xdr:colOff>
      <xdr:row>75</xdr:row>
      <xdr:rowOff>167640</xdr:rowOff>
    </xdr:from>
    <xdr:to>
      <xdr:col>2</xdr:col>
      <xdr:colOff>670560</xdr:colOff>
      <xdr:row>76</xdr:row>
      <xdr:rowOff>144780</xdr:rowOff>
    </xdr:to>
    <xdr:cxnSp macro="">
      <xdr:nvCxnSpPr>
        <xdr:cNvPr id="59" name="Conector de Seta Reta 58">
          <a:extLst>
            <a:ext uri="{FF2B5EF4-FFF2-40B4-BE49-F238E27FC236}">
              <a16:creationId xmlns:a16="http://schemas.microsoft.com/office/drawing/2014/main" id="{0836024C-A597-4B88-8730-BA528FDD6FB7}"/>
            </a:ext>
          </a:extLst>
        </xdr:cNvPr>
        <xdr:cNvCxnSpPr>
          <a:stCxn id="62" idx="0"/>
        </xdr:cNvCxnSpPr>
      </xdr:nvCxnSpPr>
      <xdr:spPr>
        <a:xfrm flipV="1">
          <a:off x="2099310" y="13616940"/>
          <a:ext cx="1489710" cy="1600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868680</xdr:colOff>
      <xdr:row>76</xdr:row>
      <xdr:rowOff>144780</xdr:rowOff>
    </xdr:from>
    <xdr:to>
      <xdr:col>2</xdr:col>
      <xdr:colOff>289560</xdr:colOff>
      <xdr:row>82</xdr:row>
      <xdr:rowOff>167640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91124DE9-71DA-4EBE-8624-36A0242ED355}"/>
            </a:ext>
          </a:extLst>
        </xdr:cNvPr>
        <xdr:cNvSpPr/>
      </xdr:nvSpPr>
      <xdr:spPr>
        <a:xfrm>
          <a:off x="990600" y="13776960"/>
          <a:ext cx="2217420" cy="1120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na seta azul para voltar ao Menu.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ilas Galvino" id="{ED54A56B-00FE-406F-A889-EBE5BC0E3716}" userId="153e8e9689feadb5" providerId="Windows Live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4" dT="2020-04-13T22:34:02.18" personId="{ED54A56B-00FE-406F-A889-EBE5BC0E3716}" id="{BC54FBCD-88E0-4ABF-AE5A-A3B61F1BDAA4}">
    <text>Digite o nome do responsável pela conferência.</text>
  </threadedComment>
  <threadedComment ref="G14" dT="2020-04-13T22:33:19.31" personId="{ED54A56B-00FE-406F-A889-EBE5BC0E3716}" id="{88742524-05A2-4DB2-88DA-00EA6398BB9B}">
    <text>Digite a data da conferência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CEF0D-B4D2-4137-B13A-D56824AC1D90}">
  <sheetPr codeName="Planilha1">
    <tabColor theme="8" tint="-0.499984740745262"/>
  </sheetPr>
  <dimension ref="A1:V33"/>
  <sheetViews>
    <sheetView showGridLines="0" showRowColHeaders="0" workbookViewId="0"/>
  </sheetViews>
  <sheetFormatPr defaultColWidth="0" defaultRowHeight="14.5" zeroHeight="1" x14ac:dyDescent="0.35"/>
  <cols>
    <col min="1" max="22" width="8.90625" customWidth="1"/>
    <col min="23" max="16384" width="8.90625" hidden="1"/>
  </cols>
  <sheetData>
    <row r="1" s="2" customFormat="1" x14ac:dyDescent="0.35"/>
    <row r="2" s="2" customFormat="1" x14ac:dyDescent="0.35"/>
    <row r="3" s="2" customFormat="1" x14ac:dyDescent="0.35"/>
    <row r="4" ht="2" customHeight="1" x14ac:dyDescent="0.35"/>
    <row r="5" s="1" customFormat="1" ht="5" customHeight="1" x14ac:dyDescent="0.35"/>
    <row r="6" ht="3" customHeight="1" x14ac:dyDescent="0.35"/>
    <row r="7" s="1" customFormat="1" ht="5" customHeight="1" x14ac:dyDescent="0.35"/>
    <row r="8" ht="2" customHeight="1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5:15" x14ac:dyDescent="0.35"/>
    <row r="18" spans="5:15" x14ac:dyDescent="0.35"/>
    <row r="19" spans="5:15" x14ac:dyDescent="0.35"/>
    <row r="20" spans="5:15" x14ac:dyDescent="0.35"/>
    <row r="21" spans="5:15" x14ac:dyDescent="0.35"/>
    <row r="22" spans="5:15" x14ac:dyDescent="0.35"/>
    <row r="23" spans="5:15" x14ac:dyDescent="0.35"/>
    <row r="24" spans="5:15" x14ac:dyDescent="0.35"/>
    <row r="25" spans="5:15" x14ac:dyDescent="0.35"/>
    <row r="26" spans="5:15" ht="21" x14ac:dyDescent="0.35">
      <c r="E26" s="32" t="s">
        <v>28</v>
      </c>
      <c r="F26" s="33"/>
      <c r="G26" s="34" t="s">
        <v>29</v>
      </c>
      <c r="H26" s="35"/>
      <c r="I26" s="35"/>
      <c r="J26" s="35"/>
      <c r="K26" s="35"/>
      <c r="L26" s="35"/>
      <c r="M26" s="35"/>
      <c r="N26" s="35"/>
      <c r="O26" s="36"/>
    </row>
    <row r="27" spans="5:15" x14ac:dyDescent="0.35"/>
    <row r="28" spans="5:15" x14ac:dyDescent="0.35"/>
    <row r="29" spans="5:15" x14ac:dyDescent="0.35"/>
    <row r="30" spans="5:15" x14ac:dyDescent="0.35"/>
    <row r="31" spans="5:15" x14ac:dyDescent="0.35"/>
    <row r="32" spans="5:15" x14ac:dyDescent="0.35"/>
    <row r="33" x14ac:dyDescent="0.35"/>
  </sheetData>
  <sheetProtection algorithmName="SHA-512" hashValue="ui4H8DGGAATAFTbvBl3o2lQ2ieo2kWnfp9FSoXmgRZmrtWZ0leBN0FoakonTY7isSy1ty270TQaY3yAh7Exa2w==" saltValue="N1/alUdravPsVw9tRQyf+A==" spinCount="100000" sheet="1" objects="1"/>
  <mergeCells count="2">
    <mergeCell ref="E26:F26"/>
    <mergeCell ref="G26:O2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7914-678B-403D-A704-C421164122B8}">
  <sheetPr codeName="Planilha2">
    <tabColor theme="8" tint="-0.499984740745262"/>
    <pageSetUpPr fitToPage="1"/>
  </sheetPr>
  <dimension ref="A1:O89"/>
  <sheetViews>
    <sheetView showGridLines="0" showRowColHeaders="0" zoomScaleNormal="100" workbookViewId="0">
      <pane ySplit="14" topLeftCell="A15" activePane="bottomLeft" state="frozen"/>
      <selection pane="bottomLeft"/>
    </sheetView>
  </sheetViews>
  <sheetFormatPr defaultColWidth="0" defaultRowHeight="14.4" customHeight="1" zeroHeight="1" x14ac:dyDescent="0.35"/>
  <cols>
    <col min="1" max="1" width="1.81640625" customWidth="1"/>
    <col min="2" max="2" width="15.81640625" customWidth="1"/>
    <col min="3" max="3" width="20.81640625" customWidth="1"/>
    <col min="4" max="4" width="15.81640625" customWidth="1"/>
    <col min="5" max="5" width="20.81640625" customWidth="1"/>
    <col min="6" max="6" width="15.81640625" customWidth="1"/>
    <col min="7" max="7" width="20.81640625" customWidth="1"/>
    <col min="8" max="8" width="2.81640625" customWidth="1"/>
    <col min="9" max="9" width="20.81640625" customWidth="1"/>
    <col min="10" max="10" width="10.81640625" customWidth="1"/>
    <col min="11" max="11" width="25" customWidth="1"/>
    <col min="12" max="12" width="6.81640625" customWidth="1"/>
    <col min="13" max="13" width="3.90625" customWidth="1"/>
    <col min="14" max="15" width="8.90625" customWidth="1"/>
    <col min="16" max="16384" width="8.90625" hidden="1"/>
  </cols>
  <sheetData>
    <row r="1" spans="2:12" s="2" customFormat="1" ht="14.5" x14ac:dyDescent="0.35"/>
    <row r="2" spans="2:12" s="2" customFormat="1" ht="14.5" x14ac:dyDescent="0.35"/>
    <row r="3" spans="2:12" s="2" customFormat="1" ht="14.5" x14ac:dyDescent="0.35"/>
    <row r="4" spans="2:12" ht="2" customHeight="1" x14ac:dyDescent="0.35"/>
    <row r="5" spans="2:12" s="1" customFormat="1" ht="5" customHeight="1" x14ac:dyDescent="0.35"/>
    <row r="6" spans="2:12" ht="3" customHeight="1" x14ac:dyDescent="0.35"/>
    <row r="7" spans="2:12" s="1" customFormat="1" ht="5" customHeight="1" x14ac:dyDescent="0.35"/>
    <row r="8" spans="2:12" ht="2" customHeight="1" x14ac:dyDescent="0.35"/>
    <row r="9" spans="2:12" ht="25" customHeight="1" x14ac:dyDescent="0.35"/>
    <row r="10" spans="2:12" ht="5" customHeight="1" x14ac:dyDescent="0.35"/>
    <row r="11" spans="2:12" ht="25" customHeight="1" x14ac:dyDescent="0.35">
      <c r="B11" s="30" t="s">
        <v>28</v>
      </c>
      <c r="C11" s="37" t="str">
        <f>Menu!G26</f>
        <v>Empresa ABCDE</v>
      </c>
      <c r="D11" s="38"/>
      <c r="E11" s="38"/>
      <c r="F11" s="38"/>
      <c r="G11" s="38"/>
      <c r="H11" s="38"/>
      <c r="I11" s="39"/>
      <c r="J11" s="31"/>
      <c r="K11" s="31"/>
      <c r="L11" s="31"/>
    </row>
    <row r="12" spans="2:12" ht="5" customHeight="1" x14ac:dyDescent="0.35"/>
    <row r="13" spans="2:12" ht="15" customHeight="1" x14ac:dyDescent="0.35">
      <c r="B13" s="42" t="s">
        <v>0</v>
      </c>
      <c r="C13" s="42"/>
      <c r="D13" s="42"/>
      <c r="E13" s="42"/>
      <c r="F13" s="42"/>
      <c r="G13" s="42" t="s">
        <v>23</v>
      </c>
      <c r="H13" s="42"/>
      <c r="I13" s="42"/>
    </row>
    <row r="14" spans="2:12" ht="25" customHeight="1" x14ac:dyDescent="0.35">
      <c r="B14" s="44" t="s">
        <v>30</v>
      </c>
      <c r="C14" s="44"/>
      <c r="D14" s="44"/>
      <c r="E14" s="44"/>
      <c r="F14" s="44"/>
      <c r="G14" s="43">
        <v>43607</v>
      </c>
      <c r="H14" s="44"/>
      <c r="I14" s="44"/>
    </row>
    <row r="15" spans="2:12" ht="5" customHeight="1" x14ac:dyDescent="0.35"/>
    <row r="16" spans="2:12" ht="25" customHeight="1" x14ac:dyDescent="0.35">
      <c r="B16" s="40" t="s">
        <v>1</v>
      </c>
      <c r="C16" s="40"/>
      <c r="D16" s="40"/>
      <c r="E16" s="40"/>
      <c r="F16" s="40"/>
      <c r="G16" s="40"/>
      <c r="H16" s="40"/>
      <c r="I16" s="40"/>
    </row>
    <row r="17" spans="2:9" ht="5" customHeight="1" x14ac:dyDescent="0.35"/>
    <row r="18" spans="2:9" ht="16.25" customHeight="1" x14ac:dyDescent="0.35">
      <c r="B18" s="4" t="s">
        <v>35</v>
      </c>
      <c r="C18" s="5" t="s">
        <v>3</v>
      </c>
      <c r="D18" s="4" t="s">
        <v>2</v>
      </c>
      <c r="E18" s="5" t="s">
        <v>4</v>
      </c>
      <c r="F18" s="6" t="s">
        <v>5</v>
      </c>
      <c r="G18" s="25">
        <v>43586</v>
      </c>
      <c r="H18" s="7" t="s">
        <v>6</v>
      </c>
      <c r="I18" s="25">
        <v>43600</v>
      </c>
    </row>
    <row r="19" spans="2:9" ht="5" customHeight="1" x14ac:dyDescent="0.35">
      <c r="B19" s="6"/>
      <c r="C19" s="5"/>
      <c r="D19" s="6"/>
      <c r="E19" s="5"/>
      <c r="F19" s="6"/>
      <c r="G19" s="8"/>
      <c r="H19" s="7"/>
      <c r="I19" s="8"/>
    </row>
    <row r="20" spans="2:9" ht="16.25" customHeight="1" x14ac:dyDescent="0.35">
      <c r="B20" s="6" t="s">
        <v>7</v>
      </c>
      <c r="C20" s="9"/>
      <c r="D20" s="6" t="s">
        <v>8</v>
      </c>
      <c r="E20" s="9"/>
      <c r="F20" s="6" t="s">
        <v>9</v>
      </c>
      <c r="G20" s="9"/>
      <c r="H20" s="8"/>
      <c r="I20" s="8"/>
    </row>
    <row r="21" spans="2:9" ht="5" customHeight="1" x14ac:dyDescent="0.35"/>
    <row r="22" spans="2:9" ht="25" customHeight="1" x14ac:dyDescent="0.35">
      <c r="B22" s="40" t="s">
        <v>10</v>
      </c>
      <c r="C22" s="40"/>
      <c r="D22" s="40"/>
      <c r="E22" s="40"/>
      <c r="F22" s="40"/>
      <c r="G22" s="40"/>
      <c r="H22" s="40"/>
      <c r="I22" s="40"/>
    </row>
    <row r="23" spans="2:9" ht="16.25" customHeight="1" x14ac:dyDescent="0.35">
      <c r="B23" s="10" t="s">
        <v>11</v>
      </c>
      <c r="C23" s="10" t="s">
        <v>12</v>
      </c>
      <c r="D23" s="10" t="s">
        <v>13</v>
      </c>
      <c r="E23" s="10" t="s">
        <v>14</v>
      </c>
      <c r="F23" s="10" t="s">
        <v>15</v>
      </c>
      <c r="G23" s="10" t="s">
        <v>16</v>
      </c>
      <c r="H23" s="10"/>
      <c r="I23" s="10" t="s">
        <v>17</v>
      </c>
    </row>
    <row r="24" spans="2:9" ht="20" customHeight="1" x14ac:dyDescent="0.35">
      <c r="B24" s="11" t="s">
        <v>18</v>
      </c>
      <c r="C24" s="18"/>
      <c r="D24" s="18"/>
      <c r="E24" s="18"/>
      <c r="F24" s="18"/>
      <c r="G24" s="13"/>
      <c r="H24" s="11"/>
      <c r="I24" s="13">
        <v>2000</v>
      </c>
    </row>
    <row r="25" spans="2:9" ht="20" customHeight="1" x14ac:dyDescent="0.35">
      <c r="B25" s="14"/>
      <c r="C25" s="14"/>
      <c r="D25" s="14">
        <v>123</v>
      </c>
      <c r="E25" s="14" t="s">
        <v>31</v>
      </c>
      <c r="F25" s="14" t="s">
        <v>32</v>
      </c>
      <c r="G25" s="15">
        <v>-500</v>
      </c>
      <c r="H25" s="16"/>
      <c r="I25" s="17">
        <f>G25+I24</f>
        <v>1500</v>
      </c>
    </row>
    <row r="26" spans="2:9" ht="20" customHeight="1" x14ac:dyDescent="0.35">
      <c r="B26" s="18"/>
      <c r="C26" s="18"/>
      <c r="D26" s="18">
        <v>5005</v>
      </c>
      <c r="E26" s="18" t="s">
        <v>33</v>
      </c>
      <c r="F26" s="18" t="s">
        <v>34</v>
      </c>
      <c r="G26" s="13">
        <v>1000</v>
      </c>
      <c r="H26" s="11"/>
      <c r="I26" s="12">
        <f>G26+I25</f>
        <v>2500</v>
      </c>
    </row>
    <row r="27" spans="2:9" ht="20" customHeight="1" x14ac:dyDescent="0.35">
      <c r="B27" s="14"/>
      <c r="C27" s="14"/>
      <c r="D27" s="14"/>
      <c r="E27" s="14"/>
      <c r="F27" s="14"/>
      <c r="G27" s="15"/>
      <c r="H27" s="16"/>
      <c r="I27" s="17">
        <f t="shared" ref="I27:I49" si="0">G27+I26</f>
        <v>2500</v>
      </c>
    </row>
    <row r="28" spans="2:9" ht="20" customHeight="1" x14ac:dyDescent="0.35">
      <c r="B28" s="18"/>
      <c r="C28" s="18"/>
      <c r="D28" s="18"/>
      <c r="E28" s="18"/>
      <c r="F28" s="18"/>
      <c r="G28" s="13"/>
      <c r="H28" s="11"/>
      <c r="I28" s="12">
        <f t="shared" si="0"/>
        <v>2500</v>
      </c>
    </row>
    <row r="29" spans="2:9" ht="20" customHeight="1" x14ac:dyDescent="0.35">
      <c r="B29" s="14"/>
      <c r="C29" s="14"/>
      <c r="D29" s="14"/>
      <c r="E29" s="14"/>
      <c r="F29" s="14"/>
      <c r="G29" s="15"/>
      <c r="H29" s="16"/>
      <c r="I29" s="17">
        <f t="shared" si="0"/>
        <v>2500</v>
      </c>
    </row>
    <row r="30" spans="2:9" ht="20" customHeight="1" x14ac:dyDescent="0.35">
      <c r="B30" s="18"/>
      <c r="C30" s="18"/>
      <c r="D30" s="18"/>
      <c r="E30" s="18"/>
      <c r="F30" s="18"/>
      <c r="G30" s="13"/>
      <c r="H30" s="11"/>
      <c r="I30" s="12">
        <f t="shared" si="0"/>
        <v>2500</v>
      </c>
    </row>
    <row r="31" spans="2:9" ht="20" customHeight="1" x14ac:dyDescent="0.35">
      <c r="B31" s="14"/>
      <c r="C31" s="14"/>
      <c r="D31" s="14"/>
      <c r="E31" s="14"/>
      <c r="F31" s="14"/>
      <c r="G31" s="15"/>
      <c r="H31" s="16"/>
      <c r="I31" s="17">
        <f t="shared" si="0"/>
        <v>2500</v>
      </c>
    </row>
    <row r="32" spans="2:9" ht="20" customHeight="1" x14ac:dyDescent="0.35">
      <c r="B32" s="18"/>
      <c r="C32" s="18"/>
      <c r="D32" s="18"/>
      <c r="E32" s="18"/>
      <c r="F32" s="18"/>
      <c r="G32" s="13"/>
      <c r="H32" s="11"/>
      <c r="I32" s="12">
        <f t="shared" si="0"/>
        <v>2500</v>
      </c>
    </row>
    <row r="33" spans="2:9" ht="20" customHeight="1" x14ac:dyDescent="0.35">
      <c r="B33" s="14"/>
      <c r="C33" s="14"/>
      <c r="D33" s="14"/>
      <c r="E33" s="14"/>
      <c r="F33" s="14"/>
      <c r="G33" s="15"/>
      <c r="H33" s="16"/>
      <c r="I33" s="17">
        <f t="shared" si="0"/>
        <v>2500</v>
      </c>
    </row>
    <row r="34" spans="2:9" ht="20" customHeight="1" x14ac:dyDescent="0.35">
      <c r="B34" s="18"/>
      <c r="C34" s="18"/>
      <c r="D34" s="18"/>
      <c r="E34" s="18"/>
      <c r="F34" s="18"/>
      <c r="G34" s="13"/>
      <c r="H34" s="11"/>
      <c r="I34" s="12">
        <f t="shared" si="0"/>
        <v>2500</v>
      </c>
    </row>
    <row r="35" spans="2:9" ht="20" customHeight="1" x14ac:dyDescent="0.35">
      <c r="B35" s="14"/>
      <c r="C35" s="14"/>
      <c r="D35" s="14"/>
      <c r="E35" s="14"/>
      <c r="F35" s="14"/>
      <c r="G35" s="15"/>
      <c r="H35" s="16"/>
      <c r="I35" s="17">
        <f t="shared" si="0"/>
        <v>2500</v>
      </c>
    </row>
    <row r="36" spans="2:9" ht="20" customHeight="1" x14ac:dyDescent="0.35">
      <c r="B36" s="18"/>
      <c r="C36" s="18"/>
      <c r="D36" s="18"/>
      <c r="E36" s="18"/>
      <c r="F36" s="18"/>
      <c r="G36" s="13"/>
      <c r="H36" s="11"/>
      <c r="I36" s="12">
        <f t="shared" si="0"/>
        <v>2500</v>
      </c>
    </row>
    <row r="37" spans="2:9" ht="20" customHeight="1" x14ac:dyDescent="0.35">
      <c r="B37" s="14"/>
      <c r="C37" s="14"/>
      <c r="D37" s="14"/>
      <c r="E37" s="14"/>
      <c r="F37" s="14"/>
      <c r="G37" s="15"/>
      <c r="H37" s="16"/>
      <c r="I37" s="17">
        <f t="shared" si="0"/>
        <v>2500</v>
      </c>
    </row>
    <row r="38" spans="2:9" ht="20" customHeight="1" x14ac:dyDescent="0.35">
      <c r="B38" s="18"/>
      <c r="C38" s="18"/>
      <c r="D38" s="18"/>
      <c r="E38" s="18"/>
      <c r="F38" s="18"/>
      <c r="G38" s="13"/>
      <c r="H38" s="11"/>
      <c r="I38" s="12">
        <f t="shared" si="0"/>
        <v>2500</v>
      </c>
    </row>
    <row r="39" spans="2:9" ht="20" customHeight="1" x14ac:dyDescent="0.35">
      <c r="B39" s="14"/>
      <c r="C39" s="14"/>
      <c r="D39" s="14"/>
      <c r="E39" s="14"/>
      <c r="F39" s="14"/>
      <c r="G39" s="15"/>
      <c r="H39" s="16"/>
      <c r="I39" s="17">
        <f t="shared" si="0"/>
        <v>2500</v>
      </c>
    </row>
    <row r="40" spans="2:9" ht="20" customHeight="1" x14ac:dyDescent="0.35">
      <c r="B40" s="18"/>
      <c r="C40" s="18"/>
      <c r="D40" s="18"/>
      <c r="E40" s="18"/>
      <c r="F40" s="18"/>
      <c r="G40" s="13"/>
      <c r="H40" s="11"/>
      <c r="I40" s="12">
        <f t="shared" si="0"/>
        <v>2500</v>
      </c>
    </row>
    <row r="41" spans="2:9" ht="20" customHeight="1" x14ac:dyDescent="0.35">
      <c r="B41" s="14"/>
      <c r="C41" s="14"/>
      <c r="D41" s="14"/>
      <c r="E41" s="14"/>
      <c r="F41" s="14"/>
      <c r="G41" s="15"/>
      <c r="H41" s="16"/>
      <c r="I41" s="17">
        <f t="shared" si="0"/>
        <v>2500</v>
      </c>
    </row>
    <row r="42" spans="2:9" ht="20" customHeight="1" x14ac:dyDescent="0.35">
      <c r="B42" s="18"/>
      <c r="C42" s="18"/>
      <c r="D42" s="18"/>
      <c r="E42" s="18"/>
      <c r="F42" s="18"/>
      <c r="G42" s="13"/>
      <c r="H42" s="11"/>
      <c r="I42" s="12">
        <f t="shared" si="0"/>
        <v>2500</v>
      </c>
    </row>
    <row r="43" spans="2:9" ht="20" customHeight="1" x14ac:dyDescent="0.35">
      <c r="B43" s="14"/>
      <c r="C43" s="14"/>
      <c r="D43" s="14"/>
      <c r="E43" s="14"/>
      <c r="F43" s="14"/>
      <c r="G43" s="15"/>
      <c r="H43" s="16"/>
      <c r="I43" s="17">
        <f t="shared" si="0"/>
        <v>2500</v>
      </c>
    </row>
    <row r="44" spans="2:9" ht="20" customHeight="1" x14ac:dyDescent="0.35">
      <c r="B44" s="18"/>
      <c r="C44" s="18"/>
      <c r="D44" s="18"/>
      <c r="E44" s="18"/>
      <c r="F44" s="18"/>
      <c r="G44" s="13"/>
      <c r="H44" s="11"/>
      <c r="I44" s="12">
        <f t="shared" si="0"/>
        <v>2500</v>
      </c>
    </row>
    <row r="45" spans="2:9" ht="20" customHeight="1" x14ac:dyDescent="0.35">
      <c r="B45" s="14"/>
      <c r="C45" s="14"/>
      <c r="D45" s="14"/>
      <c r="E45" s="14"/>
      <c r="F45" s="14"/>
      <c r="G45" s="15"/>
      <c r="H45" s="16"/>
      <c r="I45" s="17">
        <f t="shared" si="0"/>
        <v>2500</v>
      </c>
    </row>
    <row r="46" spans="2:9" ht="20" customHeight="1" x14ac:dyDescent="0.35">
      <c r="B46" s="18"/>
      <c r="C46" s="18"/>
      <c r="D46" s="18"/>
      <c r="E46" s="18"/>
      <c r="F46" s="18"/>
      <c r="G46" s="13"/>
      <c r="H46" s="11"/>
      <c r="I46" s="12">
        <f t="shared" si="0"/>
        <v>2500</v>
      </c>
    </row>
    <row r="47" spans="2:9" ht="20" customHeight="1" x14ac:dyDescent="0.35">
      <c r="B47" s="14"/>
      <c r="C47" s="14"/>
      <c r="D47" s="14"/>
      <c r="E47" s="14"/>
      <c r="F47" s="14"/>
      <c r="G47" s="15"/>
      <c r="H47" s="16"/>
      <c r="I47" s="17">
        <f t="shared" si="0"/>
        <v>2500</v>
      </c>
    </row>
    <row r="48" spans="2:9" ht="20" customHeight="1" x14ac:dyDescent="0.35">
      <c r="B48" s="18"/>
      <c r="C48" s="18"/>
      <c r="D48" s="18"/>
      <c r="E48" s="18"/>
      <c r="F48" s="18"/>
      <c r="G48" s="13"/>
      <c r="H48" s="11"/>
      <c r="I48" s="12">
        <f t="shared" si="0"/>
        <v>2500</v>
      </c>
    </row>
    <row r="49" spans="2:9" ht="20" customHeight="1" x14ac:dyDescent="0.35">
      <c r="B49" s="14"/>
      <c r="C49" s="14"/>
      <c r="D49" s="14"/>
      <c r="E49" s="14"/>
      <c r="F49" s="14"/>
      <c r="G49" s="15"/>
      <c r="H49" s="16"/>
      <c r="I49" s="17">
        <f t="shared" si="0"/>
        <v>2500</v>
      </c>
    </row>
    <row r="50" spans="2:9" ht="25" customHeight="1" x14ac:dyDescent="0.35">
      <c r="B50" s="19" t="s">
        <v>19</v>
      </c>
      <c r="C50" s="20"/>
      <c r="D50" s="20"/>
      <c r="E50" s="20"/>
      <c r="F50" s="20"/>
      <c r="G50" s="21"/>
      <c r="H50" s="20"/>
      <c r="I50" s="22">
        <f>I49</f>
        <v>2500</v>
      </c>
    </row>
    <row r="51" spans="2:9" ht="14.5" x14ac:dyDescent="0.35">
      <c r="B51" s="45" t="s">
        <v>27</v>
      </c>
      <c r="C51" s="45"/>
      <c r="D51" s="45"/>
      <c r="E51" s="45"/>
      <c r="F51" s="45"/>
      <c r="G51" s="45"/>
      <c r="H51" s="45"/>
      <c r="I51" s="45"/>
    </row>
    <row r="52" spans="2:9" ht="14.5" x14ac:dyDescent="0.35"/>
    <row r="53" spans="2:9" ht="20" customHeight="1" x14ac:dyDescent="0.35">
      <c r="B53" s="23" t="s">
        <v>20</v>
      </c>
      <c r="F53" s="23" t="s">
        <v>21</v>
      </c>
    </row>
    <row r="54" spans="2:9" ht="14.5" x14ac:dyDescent="0.35"/>
    <row r="55" spans="2:9" ht="32" customHeight="1" x14ac:dyDescent="0.35">
      <c r="B55" s="24"/>
      <c r="C55" s="24"/>
      <c r="D55" s="24"/>
      <c r="F55" s="24"/>
      <c r="G55" s="24"/>
      <c r="H55" s="24"/>
    </row>
    <row r="56" spans="2:9" ht="14.5" x14ac:dyDescent="0.35">
      <c r="B56" s="41" t="s">
        <v>22</v>
      </c>
      <c r="C56" s="41"/>
      <c r="D56" s="41"/>
      <c r="F56" s="41" t="s">
        <v>22</v>
      </c>
      <c r="G56" s="41"/>
      <c r="H56" s="41"/>
    </row>
    <row r="57" spans="2:9" ht="14.5" x14ac:dyDescent="0.35"/>
    <row r="66" ht="20" hidden="1" customHeight="1" x14ac:dyDescent="0.35"/>
    <row r="68" ht="20" hidden="1" customHeight="1" x14ac:dyDescent="0.35"/>
    <row r="70" ht="40" hidden="1" customHeight="1" x14ac:dyDescent="0.35"/>
    <row r="72" ht="20" hidden="1" customHeight="1" x14ac:dyDescent="0.35"/>
    <row r="73" ht="32" hidden="1" customHeight="1" x14ac:dyDescent="0.35"/>
    <row r="84" ht="20" hidden="1" customHeight="1" x14ac:dyDescent="0.35"/>
    <row r="85" ht="20" hidden="1" customHeight="1" x14ac:dyDescent="0.35"/>
    <row r="87" ht="20" hidden="1" customHeight="1" x14ac:dyDescent="0.35"/>
    <row r="88" ht="20" hidden="1" customHeight="1" x14ac:dyDescent="0.35"/>
    <row r="89" ht="40" hidden="1" customHeight="1" x14ac:dyDescent="0.35"/>
  </sheetData>
  <sheetProtection algorithmName="SHA-512" hashValue="GfSizi3OUu0WyDUNwjasOvrHq8EHRZtYOAlt4hmLS6spgBx9QLV5BcNaxW64cb2LOWLXRQ2Loy3odME0r2vNhQ==" saltValue="TrGmrGRoaCqXjoi+JjfQlQ==" spinCount="100000" sheet="1" objects="1" scenarios="1"/>
  <mergeCells count="10">
    <mergeCell ref="C11:I11"/>
    <mergeCell ref="B22:I22"/>
    <mergeCell ref="B56:D56"/>
    <mergeCell ref="F56:H56"/>
    <mergeCell ref="B13:F13"/>
    <mergeCell ref="G13:I13"/>
    <mergeCell ref="G14:I14"/>
    <mergeCell ref="B14:F14"/>
    <mergeCell ref="B16:I16"/>
    <mergeCell ref="B51:I51"/>
  </mergeCells>
  <phoneticPr fontId="3" type="noConversion"/>
  <conditionalFormatting sqref="G24 G30:G50">
    <cfRule type="cellIs" dxfId="2" priority="2" operator="lessThan">
      <formula>0</formula>
    </cfRule>
  </conditionalFormatting>
  <conditionalFormatting sqref="G25:G29">
    <cfRule type="cellIs" dxfId="1" priority="1" operator="lessThan">
      <formula>0</formula>
    </cfRule>
  </conditionalFormatting>
  <printOptions horizontalCentered="1"/>
  <pageMargins left="0.19685039370078741" right="0.19685039370078741" top="0.39370078740157483" bottom="0.78740157480314965" header="0.31496062992125984" footer="0.31496062992125984"/>
  <pageSetup paperSize="9" scale="75" orientation="portrait" r:id="rId1"/>
  <headerFooter>
    <oddFooter>Página &amp;P de &amp;N</oddFooter>
  </headerFooter>
  <rowBreaks count="1" manualBreakCount="1">
    <brk id="70" min="1" max="5" man="1"/>
  </rowBreaks>
  <ignoredErrors>
    <ignoredError sqref="I50" formula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F8AFA-8A72-43E8-96F5-CD3843E936D9}">
  <sheetPr codeName="Planilha4">
    <tabColor theme="8" tint="-0.499984740745262"/>
    <pageSetUpPr fitToPage="1"/>
  </sheetPr>
  <dimension ref="A1:V36"/>
  <sheetViews>
    <sheetView showGridLines="0" showRowColHeaders="0" tabSelected="1" zoomScaleNormal="100" workbookViewId="0"/>
  </sheetViews>
  <sheetFormatPr defaultColWidth="0" defaultRowHeight="14.4" customHeight="1" zeroHeight="1" x14ac:dyDescent="0.35"/>
  <cols>
    <col min="1" max="1" width="8.90625" customWidth="1"/>
    <col min="2" max="2" width="11.453125" customWidth="1"/>
    <col min="3" max="22" width="8.90625" customWidth="1"/>
    <col min="23" max="16384" width="8.90625" hidden="1"/>
  </cols>
  <sheetData>
    <row r="1" spans="2:19" s="2" customFormat="1" ht="14.5" x14ac:dyDescent="0.35"/>
    <row r="2" spans="2:19" s="2" customFormat="1" ht="14.5" x14ac:dyDescent="0.35"/>
    <row r="3" spans="2:19" s="2" customFormat="1" ht="14.5" x14ac:dyDescent="0.35"/>
    <row r="4" spans="2:19" ht="2" customHeight="1" x14ac:dyDescent="0.35"/>
    <row r="5" spans="2:19" s="1" customFormat="1" ht="5" customHeight="1" x14ac:dyDescent="0.35"/>
    <row r="6" spans="2:19" ht="3" customHeight="1" x14ac:dyDescent="0.35"/>
    <row r="7" spans="2:19" s="1" customFormat="1" ht="5" customHeight="1" x14ac:dyDescent="0.35"/>
    <row r="8" spans="2:19" ht="2" customHeight="1" x14ac:dyDescent="0.35"/>
    <row r="9" spans="2:19" ht="14.5" x14ac:dyDescent="0.35"/>
    <row r="10" spans="2:19" ht="14.5" x14ac:dyDescent="0.35"/>
    <row r="11" spans="2:19" ht="21" x14ac:dyDescent="0.35">
      <c r="B11" s="30" t="s">
        <v>28</v>
      </c>
      <c r="C11" s="37" t="str">
        <f>Menu!G26</f>
        <v>Empresa ABCDE</v>
      </c>
      <c r="D11" s="38"/>
      <c r="E11" s="38"/>
      <c r="F11" s="38"/>
      <c r="G11" s="38"/>
      <c r="H11" s="38"/>
      <c r="I11" s="38"/>
      <c r="J11" s="38"/>
      <c r="K11" s="38"/>
      <c r="L11" s="39"/>
    </row>
    <row r="12" spans="2:19" ht="14.5" x14ac:dyDescent="0.35"/>
    <row r="13" spans="2:19" ht="14.5" x14ac:dyDescent="0.35">
      <c r="B13" s="42" t="s">
        <v>0</v>
      </c>
      <c r="C13" s="42"/>
      <c r="D13" s="42"/>
      <c r="E13" s="42"/>
      <c r="F13" s="42"/>
      <c r="G13" s="42"/>
      <c r="H13" s="42"/>
      <c r="J13" s="42" t="s">
        <v>23</v>
      </c>
      <c r="K13" s="42"/>
      <c r="L13" s="42"/>
    </row>
    <row r="14" spans="2:19" ht="14.5" x14ac:dyDescent="0.35">
      <c r="B14" s="53" t="str">
        <f>CB!B14</f>
        <v>Silas Galvino</v>
      </c>
      <c r="C14" s="53"/>
      <c r="D14" s="53"/>
      <c r="E14" s="53"/>
      <c r="F14" s="53"/>
      <c r="G14" s="53"/>
      <c r="H14" s="53"/>
      <c r="J14" s="54">
        <f>CB!G14</f>
        <v>43607</v>
      </c>
      <c r="K14" s="53"/>
      <c r="L14" s="53"/>
    </row>
    <row r="15" spans="2:19" ht="14.5" x14ac:dyDescent="0.35"/>
    <row r="16" spans="2:19" ht="14.5" x14ac:dyDescent="0.35">
      <c r="B16" s="40" t="s">
        <v>1</v>
      </c>
      <c r="C16" s="40"/>
      <c r="D16" s="40"/>
      <c r="E16" s="40"/>
      <c r="F16" s="40"/>
      <c r="G16" s="40"/>
      <c r="H16" s="40"/>
      <c r="I16" s="40"/>
      <c r="J16" s="40"/>
      <c r="K16" s="40"/>
      <c r="L16" s="40"/>
      <c r="N16" s="27"/>
      <c r="O16" s="27"/>
      <c r="P16" s="27"/>
      <c r="Q16" s="27"/>
      <c r="R16" s="27"/>
      <c r="S16" s="27"/>
    </row>
    <row r="17" spans="2:19" ht="14.5" x14ac:dyDescent="0.35">
      <c r="N17" s="27"/>
      <c r="O17" s="27"/>
      <c r="P17" s="27"/>
      <c r="Q17" s="27"/>
      <c r="R17" s="27"/>
      <c r="S17" s="27"/>
    </row>
    <row r="18" spans="2:19" ht="14.5" x14ac:dyDescent="0.35">
      <c r="B18" s="26" t="str">
        <f>CB!B18</f>
        <v>(     x     )</v>
      </c>
      <c r="C18" s="5" t="s">
        <v>3</v>
      </c>
      <c r="D18" s="26" t="str">
        <f>CB!D18</f>
        <v>(          )</v>
      </c>
      <c r="E18" s="5" t="s">
        <v>4</v>
      </c>
      <c r="G18" s="6" t="s">
        <v>5</v>
      </c>
      <c r="H18" s="46">
        <f>CB!G18</f>
        <v>43586</v>
      </c>
      <c r="I18" s="47"/>
      <c r="J18" s="7" t="s">
        <v>6</v>
      </c>
      <c r="K18" s="46">
        <f>CB!I18</f>
        <v>43600</v>
      </c>
      <c r="L18" s="47"/>
      <c r="N18" s="27"/>
      <c r="O18" s="27"/>
      <c r="P18" s="27"/>
      <c r="Q18" s="27"/>
      <c r="R18" s="27"/>
      <c r="S18" s="27"/>
    </row>
    <row r="19" spans="2:19" ht="14.5" x14ac:dyDescent="0.35">
      <c r="B19" s="6"/>
      <c r="C19" s="5"/>
      <c r="D19" s="6"/>
      <c r="E19" s="5"/>
      <c r="F19" s="6"/>
      <c r="G19" s="8"/>
      <c r="H19" s="7"/>
      <c r="I19" s="8"/>
      <c r="N19" s="27"/>
      <c r="O19" s="27"/>
      <c r="P19" s="27"/>
      <c r="Q19" s="27"/>
      <c r="R19" s="27"/>
      <c r="S19" s="27"/>
    </row>
    <row r="20" spans="2:19" ht="14.5" x14ac:dyDescent="0.35">
      <c r="B20" s="6" t="s">
        <v>7</v>
      </c>
      <c r="C20" s="51">
        <f>CB!C20</f>
        <v>0</v>
      </c>
      <c r="D20" s="52"/>
      <c r="E20" s="6" t="s">
        <v>8</v>
      </c>
      <c r="F20" s="51">
        <f>CB!E20</f>
        <v>0</v>
      </c>
      <c r="G20" s="52"/>
      <c r="H20" s="8"/>
      <c r="I20" s="6" t="s">
        <v>9</v>
      </c>
      <c r="J20" s="48">
        <f>CB!G20</f>
        <v>0</v>
      </c>
      <c r="K20" s="49"/>
      <c r="L20" s="50"/>
      <c r="N20" s="27"/>
      <c r="O20" s="27"/>
      <c r="R20" s="27"/>
      <c r="S20" s="27"/>
    </row>
    <row r="21" spans="2:19" ht="14.5" x14ac:dyDescent="0.35">
      <c r="N21" s="27" t="s">
        <v>24</v>
      </c>
      <c r="O21" s="28">
        <f>SUMIF(CB!G25:G49,"&lt;0")*-1</f>
        <v>500</v>
      </c>
      <c r="P21" s="27" t="s">
        <v>18</v>
      </c>
      <c r="Q21" s="29">
        <f>CB!I24</f>
        <v>2000</v>
      </c>
      <c r="R21" s="27"/>
      <c r="S21" s="27"/>
    </row>
    <row r="22" spans="2:19" ht="14.5" x14ac:dyDescent="0.35">
      <c r="N22" s="27" t="s">
        <v>25</v>
      </c>
      <c r="O22" s="28">
        <f>SUMIF(CB!G25:G49,"&gt;0")</f>
        <v>1000</v>
      </c>
      <c r="P22" s="27" t="s">
        <v>26</v>
      </c>
      <c r="Q22" s="29">
        <f>CB!I49</f>
        <v>2500</v>
      </c>
      <c r="R22" s="27"/>
      <c r="S22" s="27"/>
    </row>
    <row r="23" spans="2:19" ht="14.5" x14ac:dyDescent="0.35">
      <c r="N23" s="27"/>
      <c r="O23" s="27"/>
      <c r="R23" s="27"/>
      <c r="S23" s="27"/>
    </row>
    <row r="24" spans="2:19" ht="14.5" x14ac:dyDescent="0.35">
      <c r="N24" s="27"/>
      <c r="O24" s="27"/>
      <c r="P24" s="27"/>
      <c r="Q24" s="27"/>
      <c r="R24" s="27"/>
      <c r="S24" s="27"/>
    </row>
    <row r="25" spans="2:19" ht="14.5" x14ac:dyDescent="0.35">
      <c r="N25" s="27"/>
      <c r="O25" s="27"/>
      <c r="P25" s="27"/>
      <c r="Q25" s="27"/>
      <c r="R25" s="27"/>
      <c r="S25" s="27"/>
    </row>
    <row r="26" spans="2:19" ht="14.5" x14ac:dyDescent="0.35">
      <c r="N26" s="27"/>
      <c r="O26" s="27"/>
      <c r="P26" s="27"/>
      <c r="Q26" s="27"/>
      <c r="R26" s="27"/>
      <c r="S26" s="27"/>
    </row>
    <row r="27" spans="2:19" ht="14.5" x14ac:dyDescent="0.35">
      <c r="N27" s="27"/>
      <c r="O27" s="27"/>
      <c r="P27" s="27"/>
      <c r="Q27" s="27"/>
      <c r="R27" s="27"/>
      <c r="S27" s="27"/>
    </row>
    <row r="28" spans="2:19" ht="14.5" x14ac:dyDescent="0.35">
      <c r="N28" s="27"/>
      <c r="O28" s="27"/>
      <c r="P28" s="27"/>
      <c r="Q28" s="27"/>
      <c r="R28" s="27"/>
      <c r="S28" s="27"/>
    </row>
    <row r="29" spans="2:19" ht="14.5" x14ac:dyDescent="0.35"/>
    <row r="30" spans="2:19" ht="14.5" x14ac:dyDescent="0.35"/>
    <row r="31" spans="2:19" ht="14.5" x14ac:dyDescent="0.35"/>
    <row r="32" spans="2:19" ht="14.5" x14ac:dyDescent="0.35"/>
    <row r="33" ht="14.5" x14ac:dyDescent="0.35"/>
    <row r="34" ht="14.5" x14ac:dyDescent="0.35"/>
    <row r="35" ht="14.5" x14ac:dyDescent="0.35"/>
    <row r="36" ht="14.5" x14ac:dyDescent="0.35"/>
  </sheetData>
  <mergeCells count="11">
    <mergeCell ref="C11:L11"/>
    <mergeCell ref="B13:H13"/>
    <mergeCell ref="B14:H14"/>
    <mergeCell ref="J13:L13"/>
    <mergeCell ref="J14:L14"/>
    <mergeCell ref="B16:L16"/>
    <mergeCell ref="K18:L18"/>
    <mergeCell ref="H18:I18"/>
    <mergeCell ref="J20:L20"/>
    <mergeCell ref="F20:G20"/>
    <mergeCell ref="C20:D20"/>
  </mergeCells>
  <conditionalFormatting sqref="K18:L18 J20:L20 H18:I18 F20:G20 C20:D20 D18 B18">
    <cfRule type="cellIs" dxfId="0" priority="1" operator="equal">
      <formula>0</formula>
    </cfRule>
  </conditionalFormatting>
  <printOptions horizontalCentered="1"/>
  <pageMargins left="0.51181102362204722" right="0.51181102362204722" top="0.78740157480314965" bottom="0.78740157480314965" header="0.31496062992125984" footer="0.31496062992125984"/>
  <pageSetup paperSize="9" scale="7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7E1BB-DD18-4AE7-8F93-23684D7A1801}">
  <sheetPr codeName="Planilha3">
    <tabColor theme="5"/>
  </sheetPr>
  <dimension ref="A1:M146"/>
  <sheetViews>
    <sheetView showGridLines="0" showRowColHeaders="0" workbookViewId="0">
      <pane ySplit="10" topLeftCell="A11" activePane="bottomLeft" state="frozen"/>
      <selection pane="bottomLeft" activeCell="B30" sqref="B30"/>
    </sheetView>
  </sheetViews>
  <sheetFormatPr defaultColWidth="0" defaultRowHeight="14.4" customHeight="1" zeroHeight="1" x14ac:dyDescent="0.35"/>
  <cols>
    <col min="1" max="1" width="1.81640625" customWidth="1"/>
    <col min="2" max="2" width="40.81640625" customWidth="1"/>
    <col min="3" max="3" width="17.81640625" customWidth="1"/>
    <col min="4" max="4" width="1.81640625" customWidth="1"/>
    <col min="5" max="5" width="40.81640625" customWidth="1"/>
    <col min="6" max="6" width="17.81640625" customWidth="1"/>
    <col min="7" max="7" width="1.81640625" customWidth="1"/>
    <col min="8" max="8" width="52.36328125" customWidth="1"/>
    <col min="9" max="9" width="25.81640625" customWidth="1"/>
    <col min="10" max="10" width="1.81640625" customWidth="1"/>
    <col min="11" max="11" width="25" hidden="1" customWidth="1"/>
    <col min="12" max="12" width="6.81640625" hidden="1" customWidth="1"/>
    <col min="13" max="13" width="3.90625" hidden="1" customWidth="1"/>
    <col min="14" max="16384" width="8.90625" hidden="1"/>
  </cols>
  <sheetData>
    <row r="1" spans="2:2" s="2" customFormat="1" ht="14.5" x14ac:dyDescent="0.35"/>
    <row r="2" spans="2:2" s="2" customFormat="1" ht="14.5" x14ac:dyDescent="0.35"/>
    <row r="3" spans="2:2" s="2" customFormat="1" ht="14.5" x14ac:dyDescent="0.35"/>
    <row r="4" spans="2:2" ht="2" customHeight="1" x14ac:dyDescent="0.35"/>
    <row r="5" spans="2:2" s="1" customFormat="1" ht="5" customHeight="1" x14ac:dyDescent="0.35"/>
    <row r="6" spans="2:2" ht="3" customHeight="1" x14ac:dyDescent="0.35"/>
    <row r="7" spans="2:2" s="1" customFormat="1" ht="5" customHeight="1" x14ac:dyDescent="0.35"/>
    <row r="8" spans="2:2" ht="2" customHeight="1" x14ac:dyDescent="0.35"/>
    <row r="9" spans="2:2" ht="25" customHeight="1" x14ac:dyDescent="0.35"/>
    <row r="10" spans="2:2" ht="25" customHeight="1" x14ac:dyDescent="0.35"/>
    <row r="11" spans="2:2" ht="18.5" x14ac:dyDescent="0.45">
      <c r="B11" s="3"/>
    </row>
    <row r="12" spans="2:2" ht="14.4" customHeight="1" x14ac:dyDescent="0.35"/>
    <row r="13" spans="2:2" ht="14.4" customHeight="1" x14ac:dyDescent="0.35"/>
    <row r="14" spans="2:2" ht="14.4" customHeight="1" x14ac:dyDescent="0.35"/>
    <row r="15" spans="2:2" ht="14.4" customHeight="1" x14ac:dyDescent="0.35"/>
    <row r="16" spans="2:2" ht="14.4" customHeight="1" x14ac:dyDescent="0.35"/>
    <row r="17" ht="14.4" customHeight="1" x14ac:dyDescent="0.35"/>
    <row r="18" ht="14.4" customHeight="1" x14ac:dyDescent="0.35"/>
    <row r="19" ht="14.4" customHeight="1" x14ac:dyDescent="0.35"/>
    <row r="20" ht="14.4" customHeight="1" x14ac:dyDescent="0.35"/>
    <row r="21" ht="14.4" customHeight="1" x14ac:dyDescent="0.35"/>
    <row r="22" ht="14.4" customHeight="1" x14ac:dyDescent="0.35"/>
    <row r="23" ht="14.4" customHeight="1" x14ac:dyDescent="0.35"/>
    <row r="24" ht="14.4" customHeight="1" x14ac:dyDescent="0.35"/>
    <row r="25" ht="14.4" customHeight="1" x14ac:dyDescent="0.35"/>
    <row r="26" ht="14.4" customHeight="1" x14ac:dyDescent="0.35"/>
    <row r="27" ht="14.4" customHeight="1" x14ac:dyDescent="0.35"/>
    <row r="28" ht="14.4" customHeight="1" x14ac:dyDescent="0.35"/>
    <row r="29" ht="14.4" customHeight="1" x14ac:dyDescent="0.35"/>
    <row r="30" ht="14.4" customHeight="1" x14ac:dyDescent="0.35"/>
    <row r="31" ht="14.4" customHeight="1" x14ac:dyDescent="0.35"/>
    <row r="32" ht="14.4" customHeight="1" x14ac:dyDescent="0.35"/>
    <row r="33" spans="2:2" ht="14.4" customHeight="1" x14ac:dyDescent="0.35"/>
    <row r="34" spans="2:2" ht="18.5" x14ac:dyDescent="0.45">
      <c r="B34" s="3"/>
    </row>
    <row r="35" spans="2:2" ht="14.4" customHeight="1" x14ac:dyDescent="0.35"/>
    <row r="36" spans="2:2" ht="14.4" customHeight="1" x14ac:dyDescent="0.35"/>
    <row r="37" spans="2:2" ht="15" customHeight="1" x14ac:dyDescent="0.35"/>
    <row r="38" spans="2:2" ht="15" customHeight="1" x14ac:dyDescent="0.35"/>
    <row r="39" spans="2:2" ht="15" customHeight="1" x14ac:dyDescent="0.35"/>
    <row r="40" spans="2:2" ht="15" customHeight="1" x14ac:dyDescent="0.35"/>
    <row r="41" spans="2:2" ht="15" customHeight="1" x14ac:dyDescent="0.35"/>
    <row r="42" spans="2:2" ht="15" customHeight="1" x14ac:dyDescent="0.35"/>
    <row r="43" spans="2:2" ht="15" customHeight="1" x14ac:dyDescent="0.35"/>
    <row r="44" spans="2:2" ht="15" customHeight="1" x14ac:dyDescent="0.35"/>
    <row r="45" spans="2:2" ht="15" customHeight="1" x14ac:dyDescent="0.35"/>
    <row r="46" spans="2:2" ht="15" customHeight="1" x14ac:dyDescent="0.35"/>
    <row r="47" spans="2:2" ht="15" customHeight="1" x14ac:dyDescent="0.35"/>
    <row r="48" spans="2:2" ht="15" customHeight="1" x14ac:dyDescent="0.35"/>
    <row r="49" spans="2:2" ht="14.4" customHeight="1" x14ac:dyDescent="0.35"/>
    <row r="50" spans="2:2" ht="14.4" customHeight="1" x14ac:dyDescent="0.35"/>
    <row r="51" spans="2:2" ht="14.4" customHeight="1" x14ac:dyDescent="0.35"/>
    <row r="52" spans="2:2" ht="14.4" customHeight="1" x14ac:dyDescent="0.35"/>
    <row r="53" spans="2:2" ht="14.4" customHeight="1" x14ac:dyDescent="0.35"/>
    <row r="54" spans="2:2" ht="14.4" customHeight="1" x14ac:dyDescent="0.35"/>
    <row r="55" spans="2:2" ht="14.4" customHeight="1" x14ac:dyDescent="0.35"/>
    <row r="56" spans="2:2" ht="14.4" customHeight="1" x14ac:dyDescent="0.35"/>
    <row r="57" spans="2:2" ht="14.4" customHeight="1" x14ac:dyDescent="0.35"/>
    <row r="58" spans="2:2" ht="14.4" customHeight="1" x14ac:dyDescent="0.45">
      <c r="B58" s="3"/>
    </row>
    <row r="59" spans="2:2" ht="14.4" customHeight="1" x14ac:dyDescent="0.35"/>
    <row r="60" spans="2:2" ht="14.4" customHeight="1" x14ac:dyDescent="0.35"/>
    <row r="61" spans="2:2" ht="14.4" customHeight="1" x14ac:dyDescent="0.35"/>
    <row r="62" spans="2:2" ht="14.4" customHeight="1" x14ac:dyDescent="0.35"/>
    <row r="63" spans="2:2" ht="14.4" customHeight="1" x14ac:dyDescent="0.35"/>
    <row r="64" spans="2:2" ht="14.4" customHeight="1" x14ac:dyDescent="0.35"/>
    <row r="65" spans="2:2" ht="14.4" customHeight="1" x14ac:dyDescent="0.35"/>
    <row r="66" spans="2:2" ht="14.4" customHeight="1" x14ac:dyDescent="0.35"/>
    <row r="67" spans="2:2" ht="14.4" customHeight="1" x14ac:dyDescent="0.35"/>
    <row r="68" spans="2:2" ht="14.4" customHeight="1" x14ac:dyDescent="0.35"/>
    <row r="69" spans="2:2" ht="14.4" customHeight="1" x14ac:dyDescent="0.35"/>
    <row r="70" spans="2:2" ht="14.4" customHeight="1" x14ac:dyDescent="0.35"/>
    <row r="71" spans="2:2" ht="14.4" customHeight="1" x14ac:dyDescent="0.35"/>
    <row r="72" spans="2:2" ht="14.4" customHeight="1" x14ac:dyDescent="0.35"/>
    <row r="73" spans="2:2" ht="14.4" customHeight="1" x14ac:dyDescent="0.35"/>
    <row r="74" spans="2:2" ht="14.4" customHeight="1" x14ac:dyDescent="0.35"/>
    <row r="75" spans="2:2" ht="14.4" customHeight="1" x14ac:dyDescent="0.35"/>
    <row r="76" spans="2:2" ht="14.4" customHeight="1" x14ac:dyDescent="0.35"/>
    <row r="77" spans="2:2" ht="14.4" customHeight="1" x14ac:dyDescent="0.35"/>
    <row r="78" spans="2:2" ht="14.4" customHeight="1" x14ac:dyDescent="0.35"/>
    <row r="79" spans="2:2" ht="14.4" customHeight="1" x14ac:dyDescent="0.45">
      <c r="B79" s="3"/>
    </row>
    <row r="80" spans="2:2" ht="14.4" customHeight="1" x14ac:dyDescent="0.35"/>
    <row r="81" ht="14.4" customHeight="1" x14ac:dyDescent="0.35"/>
    <row r="82" ht="14.4" customHeight="1" x14ac:dyDescent="0.35"/>
    <row r="83" ht="14.4" customHeight="1" x14ac:dyDescent="0.35"/>
    <row r="84" ht="14.4" customHeight="1" x14ac:dyDescent="0.35"/>
    <row r="85" ht="14.4" customHeight="1" x14ac:dyDescent="0.35"/>
    <row r="86" ht="14.4" customHeight="1" x14ac:dyDescent="0.35"/>
    <row r="87" ht="14.4" customHeight="1" x14ac:dyDescent="0.35"/>
    <row r="88" ht="14.4" customHeight="1" x14ac:dyDescent="0.35"/>
    <row r="89" ht="14.4" customHeight="1" x14ac:dyDescent="0.35"/>
    <row r="90" ht="14.4" customHeight="1" x14ac:dyDescent="0.35"/>
    <row r="91" ht="14.4" customHeight="1" x14ac:dyDescent="0.35"/>
    <row r="92" ht="14.4" customHeight="1" x14ac:dyDescent="0.35"/>
    <row r="93" ht="14.4" customHeight="1" x14ac:dyDescent="0.35"/>
    <row r="94" ht="14.4" customHeight="1" x14ac:dyDescent="0.35"/>
    <row r="95" ht="14.4" customHeight="1" x14ac:dyDescent="0.35"/>
    <row r="96" ht="14.4" customHeight="1" x14ac:dyDescent="0.35"/>
    <row r="97" spans="2:2" ht="14.4" customHeight="1" x14ac:dyDescent="0.35"/>
    <row r="98" spans="2:2" ht="14.4" customHeight="1" x14ac:dyDescent="0.35"/>
    <row r="99" spans="2:2" ht="14.4" customHeight="1" x14ac:dyDescent="0.35"/>
    <row r="100" spans="2:2" ht="14.4" customHeight="1" x14ac:dyDescent="0.35"/>
    <row r="101" spans="2:2" ht="14.4" customHeight="1" x14ac:dyDescent="0.35"/>
    <row r="102" spans="2:2" ht="14.4" customHeight="1" x14ac:dyDescent="0.35"/>
    <row r="103" spans="2:2" ht="14.4" customHeight="1" x14ac:dyDescent="0.35"/>
    <row r="104" spans="2:2" ht="14.4" customHeight="1" x14ac:dyDescent="0.35"/>
    <row r="105" spans="2:2" ht="14.4" customHeight="1" x14ac:dyDescent="0.45">
      <c r="B105" s="3"/>
    </row>
    <row r="106" spans="2:2" ht="14.4" customHeight="1" x14ac:dyDescent="0.35"/>
    <row r="107" spans="2:2" ht="14.4" customHeight="1" x14ac:dyDescent="0.35"/>
    <row r="108" spans="2:2" ht="14.4" customHeight="1" x14ac:dyDescent="0.35"/>
    <row r="109" spans="2:2" ht="14.4" customHeight="1" x14ac:dyDescent="0.35"/>
    <row r="110" spans="2:2" ht="14.4" customHeight="1" x14ac:dyDescent="0.35"/>
    <row r="111" spans="2:2" ht="14.4" customHeight="1" x14ac:dyDescent="0.35"/>
    <row r="112" spans="2:2" ht="14.4" customHeight="1" x14ac:dyDescent="0.35"/>
    <row r="146" spans="2:2" ht="14.4" hidden="1" customHeight="1" x14ac:dyDescent="0.45">
      <c r="B146" s="3"/>
    </row>
  </sheetData>
  <sheetProtection algorithmName="SHA-512" hashValue="Ry0WrTuamMfQqsqF8EbT/bSEDLRIirGMijrS79VCmNkmnJuK+0PyluF/sARN7j1Ofa0r0+qfmI7Gq2vsv5xFig==" saltValue="Ltfa4J7mFJY/qLK5fOHn3g==" spinCount="100000" sheet="1" objects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Menu</vt:lpstr>
      <vt:lpstr>CB</vt:lpstr>
      <vt:lpstr>Dash</vt:lpstr>
      <vt:lpstr>Instruções</vt:lpstr>
      <vt:lpstr>CB!Area_de_impressao</vt:lpstr>
      <vt:lpstr>Dash!Area_de_impressao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Silas Galvino</dc:creator>
  <cp:lastModifiedBy>Viviane Canna Brasil Sousa</cp:lastModifiedBy>
  <cp:lastPrinted>2022-01-13T13:22:14Z</cp:lastPrinted>
  <dcterms:created xsi:type="dcterms:W3CDTF">2020-01-02T17:40:39Z</dcterms:created>
  <dcterms:modified xsi:type="dcterms:W3CDTF">2022-01-13T13:25:49Z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73802975-95e4-4434-bbe4-a8925353e93a</vt:lpwstr>
  </property>
</Properties>
</file>